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ppcloud-my.sharepoint.com/personal/daniel_guzman_vml_com/Documents/Documents/music-letterboxd-eda/data/raw/letterboxd/"/>
    </mc:Choice>
  </mc:AlternateContent>
  <xr:revisionPtr revIDLastSave="402" documentId="13_ncr:1_{BD874D15-A4B5-4581-AB72-32B392B5CE10}" xr6:coauthVersionLast="47" xr6:coauthVersionMax="47" xr10:uidLastSave="{FFD210CC-B272-5646-8F54-63BD243CC5F8}"/>
  <bookViews>
    <workbookView xWindow="0" yWindow="1800" windowWidth="20560" windowHeight="25800" xr2:uid="{1DB710B4-6C98-4D5E-9B1D-526310F5A6D0}"/>
  </bookViews>
  <sheets>
    <sheet name="Peliculas" sheetId="1" r:id="rId1"/>
    <sheet name="Tabla Dinamica" sheetId="2" r:id="rId2"/>
    <sheet name="Analisis estadistico" sheetId="3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3" l="1"/>
</calcChain>
</file>

<file path=xl/sharedStrings.xml><?xml version="1.0" encoding="utf-8"?>
<sst xmlns="http://schemas.openxmlformats.org/spreadsheetml/2006/main" count="625" uniqueCount="324">
  <si>
    <t>fecha_dt</t>
  </si>
  <si>
    <t>pelicula_txt</t>
  </si>
  <si>
    <t>calificacion_prsnl</t>
  </si>
  <si>
    <t>director_txt</t>
  </si>
  <si>
    <t>duracion_mins</t>
  </si>
  <si>
    <t>año</t>
  </si>
  <si>
    <t>rewatch_flag</t>
  </si>
  <si>
    <t>genero</t>
  </si>
  <si>
    <t>promedio_letterboxd</t>
  </si>
  <si>
    <t>Rocky</t>
  </si>
  <si>
    <t>Blade Runner 2049</t>
  </si>
  <si>
    <t>Taxi Driver</t>
  </si>
  <si>
    <t>Doctor Strange in the Multiverse of Madness</t>
  </si>
  <si>
    <t>American Psycho</t>
  </si>
  <si>
    <t>Whiplash</t>
  </si>
  <si>
    <t>Crazy, Stupid, Love.</t>
  </si>
  <si>
    <t>Drama</t>
  </si>
  <si>
    <t>Denis Villeneuve</t>
  </si>
  <si>
    <t>Martin Scorsese</t>
  </si>
  <si>
    <t>Sam Raimi</t>
  </si>
  <si>
    <t>Mary Harron</t>
  </si>
  <si>
    <t>Damien Chazelle</t>
  </si>
  <si>
    <t>Rom-Com</t>
  </si>
  <si>
    <t>Casino</t>
  </si>
  <si>
    <t>GoodFellas</t>
  </si>
  <si>
    <t>Blue Valentine</t>
  </si>
  <si>
    <t>Django Unchained</t>
  </si>
  <si>
    <t>The Devil Wears Prada</t>
  </si>
  <si>
    <t>Gone Girl</t>
  </si>
  <si>
    <t>Spider-Man: Across the Spider-Verse</t>
  </si>
  <si>
    <t>Waves</t>
  </si>
  <si>
    <t>Legally Blonde</t>
  </si>
  <si>
    <t>The Grand Budapest Hotel</t>
  </si>
  <si>
    <t>La La Land</t>
  </si>
  <si>
    <t>Fight Club</t>
  </si>
  <si>
    <t>The Super Mario Bros. Movie</t>
  </si>
  <si>
    <t>The Wolf of Wall Street</t>
  </si>
  <si>
    <t>Jennifer's Body</t>
  </si>
  <si>
    <t>The Girl on the Train</t>
  </si>
  <si>
    <t>Raging Bull</t>
  </si>
  <si>
    <t>The Social Network</t>
  </si>
  <si>
    <t>Corpse Bride</t>
  </si>
  <si>
    <t>The Princess and the Frog</t>
  </si>
  <si>
    <t>Coach Carter</t>
  </si>
  <si>
    <t>The Hunchback of Notre Dame</t>
  </si>
  <si>
    <t>The King of Comedy</t>
  </si>
  <si>
    <t>Coraline</t>
  </si>
  <si>
    <t>Luca</t>
  </si>
  <si>
    <t>I Am Legend</t>
  </si>
  <si>
    <t>Drive</t>
  </si>
  <si>
    <t>Puss in Boots: The Last Wish</t>
  </si>
  <si>
    <t>Barbie</t>
  </si>
  <si>
    <t>I, Tonya</t>
  </si>
  <si>
    <t>The Book of Life</t>
  </si>
  <si>
    <t>Black Swan</t>
  </si>
  <si>
    <t>Shrek 2</t>
  </si>
  <si>
    <t>Ted</t>
  </si>
  <si>
    <t>Anyone But You</t>
  </si>
  <si>
    <t>28 Days Later</t>
  </si>
  <si>
    <t>The Fall Guy</t>
  </si>
  <si>
    <t>Monsters University</t>
  </si>
  <si>
    <t>Shutter Island</t>
  </si>
  <si>
    <t>Despicable Me 4</t>
  </si>
  <si>
    <t>Limitless</t>
  </si>
  <si>
    <t>You Again</t>
  </si>
  <si>
    <t>It Ends With Us</t>
  </si>
  <si>
    <t>The Help</t>
  </si>
  <si>
    <t>12 Angry Men</t>
  </si>
  <si>
    <t>Disturbia</t>
  </si>
  <si>
    <t>Superbad</t>
  </si>
  <si>
    <t>The Notebook</t>
  </si>
  <si>
    <t>Sorry to Bother You</t>
  </si>
  <si>
    <t>Air</t>
  </si>
  <si>
    <t>The Wild Robot</t>
  </si>
  <si>
    <t>Joker: Folie à Deux</t>
  </si>
  <si>
    <t>The Silence of the Lambs</t>
  </si>
  <si>
    <t>Red One</t>
  </si>
  <si>
    <t>Kung Fu Panda</t>
  </si>
  <si>
    <t>Big Fat Liar</t>
  </si>
  <si>
    <t>The Hunger Games: Catching Fire</t>
  </si>
  <si>
    <t>The Hunger Games: Mockingjay - Part 1</t>
  </si>
  <si>
    <t>The Hunger Games: Mockingjay - Part 2</t>
  </si>
  <si>
    <t>How to Lose a Guy in 10 Days</t>
  </si>
  <si>
    <t>Back to the Future</t>
  </si>
  <si>
    <t>Back to the Future II</t>
  </si>
  <si>
    <t>Back to the Future III</t>
  </si>
  <si>
    <t>The Good, The Bad and the Ugly</t>
  </si>
  <si>
    <t>Split</t>
  </si>
  <si>
    <t>Moneyball</t>
  </si>
  <si>
    <t>The Hunger Games: The Ballad of Songbirds &amp; Snakes</t>
  </si>
  <si>
    <t>As Above, So Below</t>
  </si>
  <si>
    <t>Mamma Mia!</t>
  </si>
  <si>
    <t>Woman of the Hour</t>
  </si>
  <si>
    <t>A Minecraft Movie</t>
  </si>
  <si>
    <t>What Women Want</t>
  </si>
  <si>
    <t>Love, Rosie</t>
  </si>
  <si>
    <t>The Lorax</t>
  </si>
  <si>
    <t>Harry Potter and the Chamber of Secrets</t>
  </si>
  <si>
    <t>Harry Potter and the Prisoner of Azkaban</t>
  </si>
  <si>
    <t>Estudio</t>
  </si>
  <si>
    <t>John G. Avildsen</t>
  </si>
  <si>
    <t>United Artists</t>
  </si>
  <si>
    <t>Ciencia Ficción</t>
  </si>
  <si>
    <t>Alcon Entertainment</t>
  </si>
  <si>
    <t>Columbia Pictures</t>
  </si>
  <si>
    <t>Superhéroes</t>
  </si>
  <si>
    <t>Marvel Studios</t>
  </si>
  <si>
    <t>Comedia Negra</t>
  </si>
  <si>
    <t>Bold Films</t>
  </si>
  <si>
    <t>Glenn Ficarra, John Requa</t>
  </si>
  <si>
    <t>Comedia</t>
  </si>
  <si>
    <t>Warner Bros. Pictures</t>
  </si>
  <si>
    <t>Crimen</t>
  </si>
  <si>
    <t>Warner Bros.</t>
  </si>
  <si>
    <t>Universal Pictures</t>
  </si>
  <si>
    <t>Derek Cianfrance</t>
  </si>
  <si>
    <t>The Weinstein Company</t>
  </si>
  <si>
    <t>Quentin Tarantino</t>
  </si>
  <si>
    <t>Western</t>
  </si>
  <si>
    <t>Inglourious Basterds</t>
  </si>
  <si>
    <t>Bélico</t>
  </si>
  <si>
    <t>David Frankel</t>
  </si>
  <si>
    <t>20th Century Fox</t>
  </si>
  <si>
    <t>David Fincher</t>
  </si>
  <si>
    <t>Suspenso</t>
  </si>
  <si>
    <t>Joaquim Dos Santos, Kemp Powers, Justin K. Thompson</t>
  </si>
  <si>
    <t>Animación</t>
  </si>
  <si>
    <t>Sony Pictures Animation</t>
  </si>
  <si>
    <t>Trey Edward Shults</t>
  </si>
  <si>
    <t>A24</t>
  </si>
  <si>
    <t>Robert Luketic</t>
  </si>
  <si>
    <t>Metro-Goldwyn-Mayer</t>
  </si>
  <si>
    <t>Wes Anderson</t>
  </si>
  <si>
    <t>Fox Searchlight Pictures</t>
  </si>
  <si>
    <t>Once Upon a Time... in Hollywood</t>
  </si>
  <si>
    <t>Musical</t>
  </si>
  <si>
    <t>Summit Entertainment</t>
  </si>
  <si>
    <t>About Time</t>
  </si>
  <si>
    <t>Richard Curtis</t>
  </si>
  <si>
    <t>Romance</t>
  </si>
  <si>
    <t>Aaron Horvath, Michael Jelenic</t>
  </si>
  <si>
    <t>Biográfica</t>
  </si>
  <si>
    <t>Paramount Pictures</t>
  </si>
  <si>
    <t>Karyn Kusama</t>
  </si>
  <si>
    <t>Terror</t>
  </si>
  <si>
    <t>Tate Taylor</t>
  </si>
  <si>
    <t>The Lego Batman Movie</t>
  </si>
  <si>
    <t>Chris McKay</t>
  </si>
  <si>
    <t>Tim Burton, Mike Johnson</t>
  </si>
  <si>
    <t>Ron Clements, John Musker</t>
  </si>
  <si>
    <t>Walt Disney Animation Studios</t>
  </si>
  <si>
    <t>Thomas Carter</t>
  </si>
  <si>
    <t>MTV Films</t>
  </si>
  <si>
    <t>Gary Trousdale, Kirk Wise</t>
  </si>
  <si>
    <t>Walt Disney Pictures</t>
  </si>
  <si>
    <t>Henry Selick</t>
  </si>
  <si>
    <t>Laika</t>
  </si>
  <si>
    <t>Enrico Casarosa</t>
  </si>
  <si>
    <t>Francis Lawrence</t>
  </si>
  <si>
    <t>Nicolas Winding Refn</t>
  </si>
  <si>
    <t>FilmDistrict</t>
  </si>
  <si>
    <t>Joel Crawford</t>
  </si>
  <si>
    <t>DreamWorks Animation</t>
  </si>
  <si>
    <t>Greta Gerwig</t>
  </si>
  <si>
    <t>Craig Gillespie</t>
  </si>
  <si>
    <t>Neon</t>
  </si>
  <si>
    <t>Jorge R. Gutierrez</t>
  </si>
  <si>
    <t>Darren Aronofsky</t>
  </si>
  <si>
    <t>Andrew Adamson, Kelly Asbury, Conrad Vernon</t>
  </si>
  <si>
    <t>Seth MacFarlane</t>
  </si>
  <si>
    <t>Will Gluck</t>
  </si>
  <si>
    <t>Danny Boyle</t>
  </si>
  <si>
    <t>David Leitch</t>
  </si>
  <si>
    <t>Acción</t>
  </si>
  <si>
    <t>Dan Scanlon</t>
  </si>
  <si>
    <t>Pixar Animation Studios</t>
  </si>
  <si>
    <t>Inside Out 2</t>
  </si>
  <si>
    <t>Kelsey Mann</t>
  </si>
  <si>
    <t>Chris Renaud, Patrick Delage</t>
  </si>
  <si>
    <t>Neil Burger</t>
  </si>
  <si>
    <t>Relativity Media</t>
  </si>
  <si>
    <t>Andy Fickman</t>
  </si>
  <si>
    <t>Touchstone Pictures</t>
  </si>
  <si>
    <t>Justin Baldoni</t>
  </si>
  <si>
    <t>Sidney Lumet</t>
  </si>
  <si>
    <t>Greg Mottola</t>
  </si>
  <si>
    <t>Nick Cassavetes</t>
  </si>
  <si>
    <t>New Line Cinema</t>
  </si>
  <si>
    <t>Boots Riley</t>
  </si>
  <si>
    <t>Annapurna Pictures</t>
  </si>
  <si>
    <t>Ben Affleck</t>
  </si>
  <si>
    <t>Amazon Studios</t>
  </si>
  <si>
    <t>Chris Sanders</t>
  </si>
  <si>
    <t>Todd Phillips</t>
  </si>
  <si>
    <t>Jonathan Demme</t>
  </si>
  <si>
    <t>Orion Pictures</t>
  </si>
  <si>
    <t>Jake Kasdan</t>
  </si>
  <si>
    <t>Mark Osborne, John Stevenson</t>
  </si>
  <si>
    <t>2001: A Space Odyssey</t>
  </si>
  <si>
    <t>Stanley Kubrick</t>
  </si>
  <si>
    <t>Shawn Levy</t>
  </si>
  <si>
    <t>Lionsgate</t>
  </si>
  <si>
    <t>Donald Petrie</t>
  </si>
  <si>
    <t>Robert Zemeckis</t>
  </si>
  <si>
    <t>Sergio Leone</t>
  </si>
  <si>
    <t>M. Night Shyamalan</t>
  </si>
  <si>
    <t>Harry Potter and the Philosopher's Stone</t>
  </si>
  <si>
    <t>Chris Columbus</t>
  </si>
  <si>
    <t>Fantasía</t>
  </si>
  <si>
    <t>Bennett Miller</t>
  </si>
  <si>
    <t>John Erick Dowdle</t>
  </si>
  <si>
    <t>Phyllida Lloyd</t>
  </si>
  <si>
    <t>Anna Kendrick</t>
  </si>
  <si>
    <t>Netflix</t>
  </si>
  <si>
    <t>Jared Hess</t>
  </si>
  <si>
    <t>Aventura</t>
  </si>
  <si>
    <t>Nancy Meyers</t>
  </si>
  <si>
    <t>Christian Ditter</t>
  </si>
  <si>
    <t>Alfonso Cuarón</t>
  </si>
  <si>
    <t>Lions Gate Films</t>
  </si>
  <si>
    <t>Fox Atomic</t>
  </si>
  <si>
    <t>20th Century Fox Animation</t>
  </si>
  <si>
    <t>DreamWorks Pictures</t>
  </si>
  <si>
    <t>D. J. Caruso</t>
  </si>
  <si>
    <t>Chris Renaud</t>
  </si>
  <si>
    <t>caracteres_review</t>
  </si>
  <si>
    <t>Palabras_review</t>
  </si>
  <si>
    <t>Cuenta de pelicula_txt</t>
  </si>
  <si>
    <t>Etiquetas de fila</t>
  </si>
  <si>
    <t>Total general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</si>
  <si>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</si>
  <si>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</si>
  <si>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</si>
  <si>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</si>
  <si>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</si>
  <si>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</si>
  <si>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</si>
  <si>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</si>
  <si>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</si>
  <si>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</si>
  <si>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</si>
  <si>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</si>
  <si>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</si>
  <si>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Revisitado</t>
  </si>
  <si>
    <t>Peliculas Totales</t>
  </si>
  <si>
    <t>Revisitadas</t>
  </si>
  <si>
    <t>% Revisitadas</t>
  </si>
  <si>
    <t>Menos palabras</t>
  </si>
  <si>
    <t xml:space="preserve">Mas palabras </t>
  </si>
  <si>
    <t>The good, The bad, The ugly</t>
  </si>
  <si>
    <t>Mas Antigua</t>
  </si>
  <si>
    <t>Menor tiempo</t>
  </si>
  <si>
    <t>Mayor Tiempo</t>
  </si>
  <si>
    <t>The Wolf Of wall Street</t>
  </si>
  <si>
    <t>Directores mas vistos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</si>
  <si>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</si>
  <si>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</si>
  <si>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</si>
  <si>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</si>
  <si>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</si>
  <si>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</si>
  <si>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</si>
  <si>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</si>
  <si>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</si>
  <si>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</si>
  <si>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</si>
  <si>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</si>
  <si>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The big short</t>
  </si>
  <si>
    <t>Apocalypse Z: The Beginning of the End</t>
  </si>
  <si>
    <t>Harry Potter and the Half-Blood Prince</t>
  </si>
  <si>
    <t>Eyes Wide Shut</t>
  </si>
  <si>
    <t>Network</t>
  </si>
  <si>
    <t>The Shining</t>
  </si>
  <si>
    <t>The Blair Witch Project</t>
  </si>
  <si>
    <t>Creep</t>
  </si>
  <si>
    <t>28 Weeks Later</t>
  </si>
  <si>
    <t>Punch-Drunk Love</t>
  </si>
  <si>
    <t>Harry Potter and the Deathly Hallows: Part 1</t>
  </si>
  <si>
    <t>Harry Potter and the Deathly Hallows: Part 2</t>
  </si>
  <si>
    <t>Pearl</t>
  </si>
  <si>
    <t>Creep 2</t>
  </si>
  <si>
    <t>X</t>
  </si>
  <si>
    <t>Me Before You</t>
  </si>
  <si>
    <t>Ted 2</t>
  </si>
  <si>
    <t>Fallen Angels</t>
  </si>
  <si>
    <t>Chungking Express</t>
  </si>
  <si>
    <t>Full Metal Jacket</t>
  </si>
  <si>
    <t>Ready Player One</t>
  </si>
  <si>
    <t>The House</t>
  </si>
  <si>
    <t>Isle of Dogs</t>
  </si>
  <si>
    <t>One Battle After Another</t>
  </si>
  <si>
    <t>Fantastic Mr. Fox</t>
  </si>
  <si>
    <t>Five Nights at Freddy’s 2</t>
  </si>
  <si>
    <t>Fantastic Beasts and Where to Find Them</t>
  </si>
  <si>
    <t>Fantastic Beasts: The Crimes of Grindelwald</t>
  </si>
  <si>
    <t>Stranger Things 5: The Finale</t>
  </si>
  <si>
    <t>The Housemaid</t>
  </si>
  <si>
    <t>Amores Perros</t>
  </si>
  <si>
    <t>Adam Mckay</t>
  </si>
  <si>
    <t>Carles Torrens</t>
  </si>
  <si>
    <t>David Yates</t>
  </si>
  <si>
    <t>Daniel Myrick</t>
  </si>
  <si>
    <t>Patrick Brice</t>
  </si>
  <si>
    <t>Juan Carlos Fresnadillo</t>
  </si>
  <si>
    <t>Paul Thomas Anderson</t>
  </si>
  <si>
    <t>Ti West</t>
  </si>
  <si>
    <t>Thea Sharrock</t>
  </si>
  <si>
    <t>Wong Kar-wai</t>
  </si>
  <si>
    <t>Steven Spielberg</t>
  </si>
  <si>
    <t>Paloma Baeza</t>
  </si>
  <si>
    <t>Alejandro González Iñarritu</t>
  </si>
  <si>
    <t>Duffer Brothers</t>
  </si>
  <si>
    <t>Emma Tammi</t>
  </si>
  <si>
    <t>Prime Video</t>
  </si>
  <si>
    <t>MGM</t>
  </si>
  <si>
    <t>Artisan Entertainment</t>
  </si>
  <si>
    <t>The Orchard</t>
  </si>
  <si>
    <t>Guerra</t>
  </si>
  <si>
    <t>Sci-Fi</t>
  </si>
  <si>
    <t>Jet Tone Films</t>
  </si>
  <si>
    <t>Altavista Films</t>
  </si>
  <si>
    <t>Blumhouse Productions</t>
  </si>
  <si>
    <t>21 Laps Entertainment</t>
  </si>
  <si>
    <t>Paul Feig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</si>
</sst>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2" fillId="0" borderId="2" xfId="0" applyFont="1" applyBorder="1" applyAlignment="1">
      <alignment horizontal="centerContinuous"/>
    </xf>
    <xf numFmtId="10" fontId="0" fillId="0" borderId="0" xfId="1" applyNumberFormat="1" applyFon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1">
    <dxf>
      <numFmt numFmtId="164" formatCode="dd/mm/yyyy"/>
    </dxf>
  </dxfs>
  <tableStyles count="0" defaultTableStyle="TableStyleMedium2" defaultPivotStyle="PivotStyleLight16"/>
  <colors>
    <mruColors>
      <color rgb="FFC31D1D"/>
      <color rgb="FF867C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Israel Guzman Hernandez" refreshedDate="45873.437100462965" createdVersion="8" refreshedVersion="8" minRefreshableVersion="3" recordCount="96" xr:uid="{3AA75C93-5722-48BB-A920-74E06A01676B}">
  <cacheSource type="worksheet">
    <worksheetSource name="Tabla1"/>
  </cacheSource>
  <cacheFields count="15">
    <cacheField name="fecha_dt" numFmtId="14">
      <sharedItems containsSemiMixedTypes="0" containsNonDate="0" containsDate="1" containsString="0" minDate="2022-05-11T00:00:00" maxDate="2025-06-23T00:00:00" count="80">
        <d v="2022-05-11T00:00:00"/>
        <d v="2022-05-29T00:00:00"/>
        <d v="2022-05-31T00:00:00"/>
        <d v="2022-06-06T00:00:00"/>
        <d v="2022-06-16T00:00:00"/>
        <d v="2022-08-07T00:00:00"/>
        <d v="2022-08-28T00:00:00"/>
        <d v="2022-10-16T00:00:00"/>
        <d v="2023-03-19T00:00:00"/>
        <d v="2023-03-25T00:00:00"/>
        <d v="2023-04-08T00:00:00"/>
        <d v="2023-05-19T00:00:00"/>
        <d v="2023-06-02T00:00:00"/>
        <d v="2023-06-06T00:00:00"/>
        <d v="2023-06-09T00:00:00"/>
        <d v="2023-06-10T00:00:00"/>
        <d v="2023-06-12T00:00:00"/>
        <d v="2023-06-13T00:00:00"/>
        <d v="2023-06-15T00:00:00"/>
        <d v="2023-06-21T00:00:00"/>
        <d v="2023-06-22T00:00:00"/>
        <d v="2023-06-23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3T00:00:00"/>
        <d v="2023-07-17T00:00:00"/>
        <d v="2023-07-21T00:00:00"/>
        <d v="2023-07-26T00:00:00"/>
        <d v="2023-07-29T00:00:00"/>
        <d v="2023-08-27T00:00:00"/>
        <d v="2023-08-30T00:00:00"/>
        <d v="2023-10-02T00:00:00"/>
        <d v="2023-12-08T00:00:00"/>
        <d v="2024-02-05T00:00:00"/>
        <d v="2024-02-10T00:00:00"/>
        <d v="2024-03-22T00:00:00"/>
        <d v="2024-04-26T00:00:00"/>
        <d v="2024-05-09T00:00:00"/>
        <d v="2024-05-24T00:00:00"/>
        <d v="2024-06-20T00:00:00"/>
        <d v="2024-07-12T00:00:00"/>
        <d v="2024-08-16T00:00:00"/>
        <d v="2024-08-18T00:00:00"/>
        <d v="2024-08-30T00:00:00"/>
        <d v="2024-09-10T00:00:00"/>
        <d v="2024-09-11T00:00:00"/>
        <d v="2024-09-12T00:00:00"/>
        <d v="2024-09-13T00:00:00"/>
        <d v="2024-09-18T00:00:00"/>
        <d v="2024-09-27T00:00:00"/>
        <d v="2024-09-28T00:00:00"/>
        <d v="2024-10-04T00:00:00"/>
        <d v="2024-11-01T00:00:00"/>
        <d v="2024-11-23T00:00:00"/>
        <d v="2024-12-12T00:00:00"/>
        <d v="2024-12-13T00:00:00"/>
        <d v="2024-12-20T00:00:00"/>
        <d v="2024-12-26T00:00:00"/>
        <d v="2024-12-30T00:00:00"/>
        <d v="2024-12-31T00:00:00"/>
        <d v="2025-01-08T00:00:00"/>
        <d v="2025-01-09T00:00:00"/>
        <d v="2025-01-10T00:00:00"/>
        <d v="2025-01-11T00:00:00"/>
        <d v="2025-01-18T00:00:00"/>
        <d v="2025-01-25T00:00:00"/>
        <d v="2025-01-30T00:00:00"/>
        <d v="2025-02-03T00:00:00"/>
        <d v="2025-02-10T00:00:00"/>
        <d v="2025-02-16T00:00:00"/>
        <d v="2025-03-19T00:00:00"/>
        <d v="2025-04-05T00:00:00"/>
        <d v="2025-04-19T00:00:00"/>
        <d v="2025-04-20T00:00:00"/>
        <d v="2025-06-22T00:00:00"/>
      </sharedItems>
      <fieldGroup par="14"/>
    </cacheField>
    <cacheField name="pelicula_txt" numFmtId="0">
      <sharedItems count="90">
        <s v="Rocky"/>
        <s v="Blade Runner 2049"/>
        <s v="Doctor Strange in the Multiverse of Madness"/>
        <s v="Taxi Driver"/>
        <s v="American Psycho"/>
        <s v="Crazy, Stupid, Love."/>
        <s v="Whiplash"/>
        <s v="GoodFellas"/>
        <s v="Casino"/>
        <s v="Blue Valentine"/>
        <s v="Django Unchained"/>
        <s v="Inglourious Basterds"/>
        <s v="The Devil Wears Prada"/>
        <s v="Gone Girl"/>
        <s v="Spider-Man: Across the Spider-Verse"/>
        <s v="Waves"/>
        <s v="Legally Blonde"/>
        <s v="The Grand Budapest Hotel"/>
        <s v="Once Upon a Time... in Hollywood"/>
        <s v="La La Land"/>
        <s v="About Time"/>
        <s v="Fight Club"/>
        <s v="The Super Mario Bros. Movie"/>
        <s v="The Wolf of Wall Street"/>
        <s v="The Girl on the Train"/>
        <s v="Jennifer's Body"/>
        <s v="Raging Bull"/>
        <s v="The Social Network"/>
        <s v="The Lego Batman Movie"/>
        <s v="The Princess and the Frog"/>
        <s v="Corpse Bride"/>
        <s v="Coach Carter"/>
        <s v="The King of Comedy"/>
        <s v="The Hunchback of Notre Dame"/>
        <s v="I Am Legend"/>
        <s v="Drive"/>
        <s v="Coraline"/>
        <s v="Luca"/>
        <s v="Puss in Boots: The Last Wish"/>
        <s v="Barbie"/>
        <s v="I, Tonya"/>
        <s v="The Book of Life"/>
        <s v="Black Swan"/>
        <s v="Shrek 2"/>
        <s v="Ted"/>
        <s v="Anyone But You"/>
        <s v="28 Days Later"/>
        <s v="The Fall Guy"/>
        <s v="Monsters University"/>
        <s v="Shutter Island"/>
        <s v="Inside Out 2"/>
        <s v="Despicable Me 4"/>
        <s v="Limitless"/>
        <s v="You Again"/>
        <s v="It Ends With Us"/>
        <s v="The Help"/>
        <s v="12 Angry Men"/>
        <s v="Disturbia"/>
        <s v="The Notebook"/>
        <s v="Superbad"/>
        <s v="Sorry to Bother You"/>
        <s v="Air"/>
        <s v="The Wild Robot"/>
        <s v="Joker: Folie à Deux"/>
        <s v="The Silence of the Lambs"/>
        <s v="Red One"/>
        <s v="Kung Fu Panda"/>
        <s v="2001: A Space Odyssey"/>
        <s v="Big Fat Liar"/>
        <s v="The Hunger Games: Catching Fire"/>
        <s v="The Hunger Games: Mockingjay - Part 1"/>
        <s v="The Hunger Games: Mockingjay - Part 2"/>
        <s v="How to Lose a Guy in 10 Days"/>
        <s v="Back to the Future"/>
        <s v="Back to the Future II"/>
        <s v="The Good, The Bad and the Ugly"/>
        <s v="Back to the Future III"/>
        <s v="Split"/>
        <s v="Harry Potter and the Philosopher's Stone"/>
        <s v="Moneyball"/>
        <s v="The Hunger Games: The Ballad of Songbirds &amp; Snakes"/>
        <s v="As Above, So Below"/>
        <s v="Mamma Mia!"/>
        <s v="Woman of the Hour"/>
        <s v="A Minecraft Movie"/>
        <s v="What Women Want"/>
        <s v="Love, Rosie"/>
        <s v="The Lorax"/>
        <s v="Harry Potter and the Chamber of Secrets"/>
        <s v="Harry Potter and the Prisoner of Azkaban"/>
      </sharedItems>
    </cacheField>
    <cacheField name="director_txt" numFmtId="0">
      <sharedItems count="71">
        <s v="John G. Avildsen"/>
        <s v="Denis Villeneuve"/>
        <s v="Sam Raimi"/>
        <s v="Martin Scorsese"/>
        <s v="Mary Harron"/>
        <s v="Glenn Ficarra, John Requa"/>
        <s v="Damien Chazelle"/>
        <s v="Derek Cianfrance"/>
        <s v="Quentin Tarantino"/>
        <s v="David Frankel"/>
        <s v="David Fincher"/>
        <s v="Joaquim Dos Santos, Kemp Powers, Justin K. Thompson"/>
        <s v="Trey Edward Shults"/>
        <s v="Robert Luketic"/>
        <s v="Wes Anderson"/>
        <s v="Richard Curtis"/>
        <s v="Aaron Horvath, Michael Jelenic"/>
        <s v="Tate Taylor"/>
        <s v="Karyn Kusama"/>
        <s v="Chris McKay"/>
        <s v="Ron Clements, John Musker"/>
        <s v="Tim Burton, Mike Johnson"/>
        <s v="Thomas Carter"/>
        <s v="Gary Trousdale, Kirk Wise"/>
        <s v="Francis Lawrence"/>
        <s v="Nicolas Winding Refn"/>
        <s v="Henry Selick"/>
        <s v="Enrico Casarosa"/>
        <s v="Joel Crawford"/>
        <s v="Greta Gerwig"/>
        <s v="Craig Gillespie"/>
        <s v="Jorge R. Gutierrez"/>
        <s v="Darren Aronofsky"/>
        <s v="Andrew Adamson, Kelly Asbury, Conrad Vernon"/>
        <s v="Seth MacFarlane"/>
        <s v="Will Gluck"/>
        <s v="Danny Boyle"/>
        <s v="David Leitch"/>
        <s v="Dan Scanlon"/>
        <s v="Kelsey Mann"/>
        <s v="Chris Renaud, Patrick Delage"/>
        <s v="Neil Burger"/>
        <s v="Andy Fickman"/>
        <s v="Justin Baldoni"/>
        <s v="Sidney Lumet"/>
        <s v="D. J. Caruso"/>
        <s v="Nick Cassavetes"/>
        <s v="Greg Mottola"/>
        <s v="Boots Riley"/>
        <s v="Ben Affleck"/>
        <s v="Chris Sanders"/>
        <s v="Todd Phillips"/>
        <s v="Jonathan Demme"/>
        <s v="Jake Kasdan"/>
        <s v="Mark Osborne, John Stevenson"/>
        <s v="Stanley Kubrick"/>
        <s v="Shawn Levy"/>
        <s v="Donald Petrie"/>
        <s v="Robert Zemeckis"/>
        <s v="Sergio Leone"/>
        <s v="M. Night Shyamalan"/>
        <s v="Chris Columbus"/>
        <s v="Bennett Miller"/>
        <s v="John Erick Dowdle"/>
        <s v="Phyllida Lloyd"/>
        <s v="Anna Kendrick"/>
        <s v="Jared Hess"/>
        <s v="Nancy Meyers"/>
        <s v="Christian Ditter"/>
        <s v="Chris Renaud"/>
        <s v="Alfonso Cuarón"/>
      </sharedItems>
    </cacheField>
    <cacheField name="genero" numFmtId="0">
      <sharedItems count="18">
        <s v="Drama"/>
        <s v="Ciencia Ficción"/>
        <s v="Superhéroes"/>
        <s v="Comedia Negra"/>
        <s v="Rom-Com"/>
        <s v="Crimen"/>
        <s v="Western"/>
        <s v="Bélico"/>
        <s v="Comedia"/>
        <s v="Suspenso"/>
        <s v="Animación"/>
        <s v="Musical"/>
        <s v="Biográfica"/>
        <s v="Terror"/>
        <s v="Acción"/>
        <s v="Romance"/>
        <s v="Fantasía"/>
        <s v="Aventura"/>
      </sharedItems>
    </cacheField>
    <cacheField name="Estudio" numFmtId="0">
      <sharedItems count="36">
        <s v="United Artists"/>
        <s v="Alcon Entertainment"/>
        <s v="Marvel Studios"/>
        <s v="Columbia Pictures"/>
        <s v="Lions Gate Films"/>
        <s v="Warner Bros. Pictures"/>
        <s v="Bold Films"/>
        <s v="Warner Bros."/>
        <s v="Universal Pictures"/>
        <s v="The Weinstein Company"/>
        <s v="20th Century Fox"/>
        <s v="Sony Pictures Animation"/>
        <s v="A24"/>
        <s v="Metro-Goldwyn-Mayer"/>
        <s v="Fox Searchlight Pictures"/>
        <s v="Summit Entertainment"/>
        <s v="Paramount Pictures"/>
        <s v="Fox Atomic"/>
        <s v="Walt Disney Animation Studios"/>
        <s v="MTV Films"/>
        <s v="Walt Disney Pictures"/>
        <s v="FilmDistrict"/>
        <s v="Laika"/>
        <s v="Pixar Animation Studios"/>
        <s v="DreamWorks Animation"/>
        <s v="Neon"/>
        <s v="20th Century Fox Animation"/>
        <s v="Relativity Media"/>
        <s v="Touchstone Pictures"/>
        <s v="DreamWorks Pictures"/>
        <s v="New Line Cinema"/>
        <s v="Annapurna Pictures"/>
        <s v="Amazon Studios"/>
        <s v="Orion Pictures"/>
        <s v="Lionsgate"/>
        <s v="Netflix"/>
      </sharedItems>
    </cacheField>
    <cacheField name="duracion_mins" numFmtId="0">
      <sharedItems containsSemiMixedTypes="0" containsString="0" containsNumber="1" containsInteger="1" minValue="77" maxValue="180"/>
    </cacheField>
    <cacheField name="año" numFmtId="0">
      <sharedItems containsSemiMixedTypes="0" containsString="0" containsNumber="1" containsInteger="1" minValue="1957" maxValue="2025"/>
    </cacheField>
    <cacheField name="calificacion_prsnl" numFmtId="0">
      <sharedItems containsSemiMixedTypes="0" containsString="0" containsNumber="1" minValue="1.5" maxValue="5"/>
    </cacheField>
    <cacheField name="promedio_letterboxd" numFmtId="0">
      <sharedItems containsSemiMixedTypes="0" containsString="0" containsNumber="1" minValue="2.2999999999999998" maxValue="4.5999999999999996"/>
    </cacheField>
    <cacheField name="rewatch_flag" numFmtId="0">
      <sharedItems containsSemiMixedTypes="0" containsString="0" containsNumber="1" containsInteger="1" minValue="0" maxValue="1"/>
    </cacheField>
    <cacheField name="caracteres_review" numFmtId="0">
      <sharedItems containsSemiMixedTypes="0" containsString="0" containsNumber="1" containsInteger="1" minValue="0" maxValue="1183"/>
    </cacheField>
    <cacheField name="Palabras_review" numFmtId="0">
      <sharedItems containsSemiMixedTypes="0" containsString="0" containsNumber="1" containsInteger="1" minValue="0" maxValue="220"/>
    </cacheField>
    <cacheField name="Meses (fecha_dt)" numFmtId="0" databaseField="0">
      <fieldGroup base="0">
        <rangePr groupBy="months" startDate="2022-05-11T00:00:00" endDate="2025-06-23T00:00:00"/>
        <groupItems count="14">
          <s v="&lt;11/05/2022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3/06/2025"/>
        </groupItems>
      </fieldGroup>
    </cacheField>
    <cacheField name="Trimestres (fecha_dt)" numFmtId="0" databaseField="0">
      <fieldGroup base="0">
        <rangePr groupBy="quarters" startDate="2022-05-11T00:00:00" endDate="2025-06-23T00:00:00"/>
        <groupItems count="6">
          <s v="&lt;11/05/2022"/>
          <s v="Trim.1"/>
          <s v="Trim.2"/>
          <s v="Trim.3"/>
          <s v="Trim.4"/>
          <s v="&gt;23/06/2025"/>
        </groupItems>
      </fieldGroup>
    </cacheField>
    <cacheField name="Años (fecha_dt)" numFmtId="0" databaseField="0">
      <fieldGroup base="0">
        <rangePr groupBy="years" startDate="2022-05-11T00:00:00" endDate="2025-06-23T00:00:00"/>
        <groupItems count="6">
          <s v="&lt;11/05/2022"/>
          <s v="2022"/>
          <s v="2023"/>
          <s v="2024"/>
          <s v="2025"/>
          <s v="&gt;23/0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x v="0"/>
    <x v="0"/>
    <x v="0"/>
    <n v="120"/>
    <n v="1976"/>
    <n v="3.5"/>
    <n v="4.0999999999999996"/>
    <n v="1"/>
    <n v="167"/>
    <n v="23"/>
  </r>
  <r>
    <x v="1"/>
    <x v="1"/>
    <x v="1"/>
    <x v="1"/>
    <x v="1"/>
    <n v="163"/>
    <n v="2017"/>
    <n v="4"/>
    <n v="4.0999999999999996"/>
    <n v="0"/>
    <n v="265"/>
    <n v="44"/>
  </r>
  <r>
    <x v="2"/>
    <x v="2"/>
    <x v="2"/>
    <x v="2"/>
    <x v="2"/>
    <n v="126"/>
    <n v="2022"/>
    <n v="3"/>
    <n v="2.9"/>
    <n v="0"/>
    <n v="327"/>
    <n v="60"/>
  </r>
  <r>
    <x v="2"/>
    <x v="3"/>
    <x v="3"/>
    <x v="0"/>
    <x v="3"/>
    <n v="114"/>
    <n v="1976"/>
    <n v="5"/>
    <n v="4.0999999999999996"/>
    <n v="1"/>
    <n v="298"/>
    <n v="54"/>
  </r>
  <r>
    <x v="3"/>
    <x v="4"/>
    <x v="4"/>
    <x v="3"/>
    <x v="4"/>
    <n v="102"/>
    <n v="2000"/>
    <n v="3.5"/>
    <n v="3.8"/>
    <n v="0"/>
    <n v="289"/>
    <n v="46"/>
  </r>
  <r>
    <x v="4"/>
    <x v="5"/>
    <x v="5"/>
    <x v="4"/>
    <x v="5"/>
    <n v="118"/>
    <n v="2011"/>
    <n v="3"/>
    <n v="3.7"/>
    <n v="0"/>
    <n v="212"/>
    <n v="39"/>
  </r>
  <r>
    <x v="4"/>
    <x v="6"/>
    <x v="6"/>
    <x v="0"/>
    <x v="6"/>
    <n v="107"/>
    <n v="2014"/>
    <n v="5"/>
    <n v="4.4000000000000004"/>
    <n v="1"/>
    <n v="260"/>
    <n v="46"/>
  </r>
  <r>
    <x v="5"/>
    <x v="7"/>
    <x v="3"/>
    <x v="5"/>
    <x v="7"/>
    <n v="146"/>
    <n v="1990"/>
    <n v="5"/>
    <n v="4.5"/>
    <n v="0"/>
    <n v="134"/>
    <n v="27"/>
  </r>
  <r>
    <x v="6"/>
    <x v="8"/>
    <x v="3"/>
    <x v="5"/>
    <x v="8"/>
    <n v="178"/>
    <n v="1995"/>
    <n v="4.5"/>
    <n v="4.2"/>
    <n v="0"/>
    <n v="309"/>
    <n v="55"/>
  </r>
  <r>
    <x v="7"/>
    <x v="9"/>
    <x v="7"/>
    <x v="0"/>
    <x v="9"/>
    <n v="112"/>
    <n v="2010"/>
    <n v="4"/>
    <n v="3.8"/>
    <n v="0"/>
    <n v="112"/>
    <n v="24"/>
  </r>
  <r>
    <x v="8"/>
    <x v="10"/>
    <x v="8"/>
    <x v="6"/>
    <x v="3"/>
    <n v="165"/>
    <n v="2012"/>
    <n v="5"/>
    <n v="4.3"/>
    <n v="0"/>
    <n v="129"/>
    <n v="22"/>
  </r>
  <r>
    <x v="9"/>
    <x v="11"/>
    <x v="8"/>
    <x v="7"/>
    <x v="9"/>
    <n v="153"/>
    <n v="2009"/>
    <n v="5"/>
    <n v="4.4000000000000004"/>
    <n v="0"/>
    <n v="195"/>
    <n v="39"/>
  </r>
  <r>
    <x v="10"/>
    <x v="12"/>
    <x v="9"/>
    <x v="8"/>
    <x v="10"/>
    <n v="109"/>
    <n v="2006"/>
    <n v="4"/>
    <n v="3.8"/>
    <n v="0"/>
    <n v="0"/>
    <n v="0"/>
  </r>
  <r>
    <x v="11"/>
    <x v="13"/>
    <x v="10"/>
    <x v="9"/>
    <x v="10"/>
    <n v="149"/>
    <n v="2014"/>
    <n v="4"/>
    <n v="4.0999999999999996"/>
    <n v="0"/>
    <n v="44"/>
    <n v="9"/>
  </r>
  <r>
    <x v="12"/>
    <x v="14"/>
    <x v="11"/>
    <x v="10"/>
    <x v="11"/>
    <n v="140"/>
    <n v="2023"/>
    <n v="4.5"/>
    <n v="4.4000000000000004"/>
    <n v="0"/>
    <n v="25"/>
    <n v="4"/>
  </r>
  <r>
    <x v="13"/>
    <x v="15"/>
    <x v="12"/>
    <x v="0"/>
    <x v="12"/>
    <n v="135"/>
    <n v="2019"/>
    <n v="3.5"/>
    <n v="3.9"/>
    <n v="0"/>
    <n v="311"/>
    <n v="53"/>
  </r>
  <r>
    <x v="14"/>
    <x v="16"/>
    <x v="13"/>
    <x v="8"/>
    <x v="13"/>
    <n v="96"/>
    <n v="2001"/>
    <n v="4"/>
    <n v="3.8"/>
    <n v="0"/>
    <n v="76"/>
    <n v="14"/>
  </r>
  <r>
    <x v="15"/>
    <x v="17"/>
    <x v="14"/>
    <x v="8"/>
    <x v="14"/>
    <n v="100"/>
    <n v="2014"/>
    <n v="2"/>
    <n v="4.2"/>
    <n v="0"/>
    <n v="129"/>
    <n v="25"/>
  </r>
  <r>
    <x v="16"/>
    <x v="18"/>
    <x v="8"/>
    <x v="8"/>
    <x v="3"/>
    <n v="161"/>
    <n v="2019"/>
    <n v="5"/>
    <n v="3.8"/>
    <n v="0"/>
    <n v="92"/>
    <n v="18"/>
  </r>
  <r>
    <x v="17"/>
    <x v="19"/>
    <x v="6"/>
    <x v="11"/>
    <x v="15"/>
    <n v="128"/>
    <n v="2016"/>
    <n v="5"/>
    <n v="4.0999999999999996"/>
    <n v="1"/>
    <n v="335"/>
    <n v="62"/>
  </r>
  <r>
    <x v="18"/>
    <x v="20"/>
    <x v="15"/>
    <x v="4"/>
    <x v="8"/>
    <n v="123"/>
    <n v="2013"/>
    <n v="4"/>
    <n v="4"/>
    <n v="1"/>
    <n v="114"/>
    <n v="21"/>
  </r>
  <r>
    <x v="19"/>
    <x v="21"/>
    <x v="10"/>
    <x v="0"/>
    <x v="10"/>
    <n v="139"/>
    <n v="1999"/>
    <n v="5"/>
    <n v="4.3"/>
    <n v="0"/>
    <n v="353"/>
    <n v="57"/>
  </r>
  <r>
    <x v="20"/>
    <x v="7"/>
    <x v="3"/>
    <x v="5"/>
    <x v="7"/>
    <n v="146"/>
    <n v="1990"/>
    <n v="5"/>
    <n v="4.5"/>
    <n v="1"/>
    <n v="248"/>
    <n v="45"/>
  </r>
  <r>
    <x v="21"/>
    <x v="22"/>
    <x v="16"/>
    <x v="10"/>
    <x v="8"/>
    <n v="92"/>
    <n v="2023"/>
    <n v="3.5"/>
    <n v="3.2"/>
    <n v="0"/>
    <n v="352"/>
    <n v="68"/>
  </r>
  <r>
    <x v="22"/>
    <x v="23"/>
    <x v="3"/>
    <x v="12"/>
    <x v="16"/>
    <n v="180"/>
    <n v="2013"/>
    <n v="5"/>
    <n v="4"/>
    <n v="0"/>
    <n v="609"/>
    <n v="110"/>
  </r>
  <r>
    <x v="23"/>
    <x v="24"/>
    <x v="17"/>
    <x v="9"/>
    <x v="8"/>
    <n v="112"/>
    <n v="2016"/>
    <n v="2.5"/>
    <n v="2.9"/>
    <n v="0"/>
    <n v="342"/>
    <n v="58"/>
  </r>
  <r>
    <x v="23"/>
    <x v="25"/>
    <x v="18"/>
    <x v="13"/>
    <x v="17"/>
    <n v="102"/>
    <n v="2009"/>
    <n v="3"/>
    <n v="3.4"/>
    <n v="0"/>
    <n v="68"/>
    <n v="15"/>
  </r>
  <r>
    <x v="24"/>
    <x v="26"/>
    <x v="3"/>
    <x v="12"/>
    <x v="0"/>
    <n v="129"/>
    <n v="1980"/>
    <n v="5"/>
    <n v="4.2"/>
    <n v="0"/>
    <n v="953"/>
    <n v="179"/>
  </r>
  <r>
    <x v="24"/>
    <x v="4"/>
    <x v="4"/>
    <x v="3"/>
    <x v="4"/>
    <n v="102"/>
    <n v="2000"/>
    <n v="4.5"/>
    <n v="3.8"/>
    <n v="1"/>
    <n v="206"/>
    <n v="40"/>
  </r>
  <r>
    <x v="25"/>
    <x v="5"/>
    <x v="5"/>
    <x v="4"/>
    <x v="5"/>
    <n v="118"/>
    <n v="2011"/>
    <n v="3.5"/>
    <n v="3.7"/>
    <n v="1"/>
    <n v="134"/>
    <n v="26"/>
  </r>
  <r>
    <x v="26"/>
    <x v="27"/>
    <x v="10"/>
    <x v="12"/>
    <x v="3"/>
    <n v="120"/>
    <n v="2010"/>
    <n v="4.5"/>
    <n v="3.9"/>
    <n v="1"/>
    <n v="94"/>
    <n v="16"/>
  </r>
  <r>
    <x v="27"/>
    <x v="28"/>
    <x v="19"/>
    <x v="10"/>
    <x v="5"/>
    <n v="104"/>
    <n v="2017"/>
    <n v="4.5"/>
    <n v="3.9"/>
    <n v="1"/>
    <n v="339"/>
    <n v="59"/>
  </r>
  <r>
    <x v="28"/>
    <x v="29"/>
    <x v="20"/>
    <x v="10"/>
    <x v="18"/>
    <n v="97"/>
    <n v="2009"/>
    <n v="4"/>
    <n v="3.9"/>
    <n v="0"/>
    <n v="358"/>
    <n v="68"/>
  </r>
  <r>
    <x v="28"/>
    <x v="30"/>
    <x v="21"/>
    <x v="10"/>
    <x v="5"/>
    <n v="77"/>
    <n v="2005"/>
    <n v="4"/>
    <n v="3.9"/>
    <n v="0"/>
    <n v="295"/>
    <n v="55"/>
  </r>
  <r>
    <x v="29"/>
    <x v="31"/>
    <x v="22"/>
    <x v="0"/>
    <x v="19"/>
    <n v="136"/>
    <n v="2005"/>
    <n v="3.5"/>
    <n v="3.8"/>
    <n v="0"/>
    <n v="234"/>
    <n v="41"/>
  </r>
  <r>
    <x v="30"/>
    <x v="3"/>
    <x v="3"/>
    <x v="0"/>
    <x v="3"/>
    <n v="114"/>
    <n v="1976"/>
    <n v="5"/>
    <n v="4.0999999999999996"/>
    <n v="1"/>
    <n v="1183"/>
    <n v="195"/>
  </r>
  <r>
    <x v="30"/>
    <x v="32"/>
    <x v="3"/>
    <x v="8"/>
    <x v="10"/>
    <n v="109"/>
    <n v="1982"/>
    <n v="5"/>
    <n v="4.2"/>
    <n v="0"/>
    <n v="564"/>
    <n v="104"/>
  </r>
  <r>
    <x v="30"/>
    <x v="33"/>
    <x v="23"/>
    <x v="10"/>
    <x v="20"/>
    <n v="91"/>
    <n v="1996"/>
    <n v="3.5"/>
    <n v="3.7"/>
    <n v="0"/>
    <n v="112"/>
    <n v="22"/>
  </r>
  <r>
    <x v="31"/>
    <x v="34"/>
    <x v="24"/>
    <x v="1"/>
    <x v="5"/>
    <n v="101"/>
    <n v="2007"/>
    <n v="4"/>
    <n v="3.4"/>
    <n v="1"/>
    <n v="166"/>
    <n v="33"/>
  </r>
  <r>
    <x v="31"/>
    <x v="35"/>
    <x v="25"/>
    <x v="5"/>
    <x v="21"/>
    <n v="100"/>
    <n v="2011"/>
    <n v="4"/>
    <n v="3.9"/>
    <n v="0"/>
    <n v="135"/>
    <n v="23"/>
  </r>
  <r>
    <x v="31"/>
    <x v="36"/>
    <x v="26"/>
    <x v="10"/>
    <x v="22"/>
    <n v="100"/>
    <n v="2009"/>
    <n v="3.5"/>
    <n v="4.2"/>
    <n v="0"/>
    <n v="70"/>
    <n v="14"/>
  </r>
  <r>
    <x v="31"/>
    <x v="37"/>
    <x v="27"/>
    <x v="10"/>
    <x v="23"/>
    <n v="95"/>
    <n v="2021"/>
    <n v="3.5"/>
    <n v="3.7"/>
    <n v="1"/>
    <n v="16"/>
    <n v="2"/>
  </r>
  <r>
    <x v="32"/>
    <x v="38"/>
    <x v="28"/>
    <x v="10"/>
    <x v="24"/>
    <n v="102"/>
    <n v="2022"/>
    <n v="3.5"/>
    <n v="4.0999999999999996"/>
    <n v="0"/>
    <n v="104"/>
    <n v="18"/>
  </r>
  <r>
    <x v="33"/>
    <x v="39"/>
    <x v="29"/>
    <x v="8"/>
    <x v="5"/>
    <n v="114"/>
    <n v="2023"/>
    <n v="4.5"/>
    <n v="3.8"/>
    <n v="0"/>
    <n v="210"/>
    <n v="38"/>
  </r>
  <r>
    <x v="34"/>
    <x v="40"/>
    <x v="30"/>
    <x v="12"/>
    <x v="25"/>
    <n v="120"/>
    <n v="2017"/>
    <n v="5"/>
    <n v="3.9"/>
    <n v="0"/>
    <n v="216"/>
    <n v="40"/>
  </r>
  <r>
    <x v="35"/>
    <x v="41"/>
    <x v="31"/>
    <x v="10"/>
    <x v="26"/>
    <n v="95"/>
    <n v="2014"/>
    <n v="3.5"/>
    <n v="3.7"/>
    <n v="0"/>
    <n v="78"/>
    <n v="12"/>
  </r>
  <r>
    <x v="36"/>
    <x v="42"/>
    <x v="32"/>
    <x v="9"/>
    <x v="14"/>
    <n v="108"/>
    <n v="2010"/>
    <n v="4"/>
    <n v="4.2"/>
    <n v="0"/>
    <n v="45"/>
    <n v="8"/>
  </r>
  <r>
    <x v="37"/>
    <x v="43"/>
    <x v="33"/>
    <x v="10"/>
    <x v="24"/>
    <n v="93"/>
    <n v="2004"/>
    <n v="5"/>
    <n v="4.0999999999999996"/>
    <n v="1"/>
    <n v="172"/>
    <n v="33"/>
  </r>
  <r>
    <x v="38"/>
    <x v="44"/>
    <x v="34"/>
    <x v="8"/>
    <x v="8"/>
    <n v="106"/>
    <n v="2012"/>
    <n v="4"/>
    <n v="3"/>
    <n v="1"/>
    <n v="32"/>
    <n v="6"/>
  </r>
  <r>
    <x v="39"/>
    <x v="45"/>
    <x v="35"/>
    <x v="4"/>
    <x v="3"/>
    <n v="103"/>
    <n v="2023"/>
    <n v="3"/>
    <n v="2.9"/>
    <n v="0"/>
    <n v="64"/>
    <n v="13"/>
  </r>
  <r>
    <x v="40"/>
    <x v="46"/>
    <x v="36"/>
    <x v="13"/>
    <x v="14"/>
    <n v="113"/>
    <n v="2002"/>
    <n v="3"/>
    <n v="3.7"/>
    <n v="0"/>
    <n v="61"/>
    <n v="11"/>
  </r>
  <r>
    <x v="41"/>
    <x v="47"/>
    <x v="37"/>
    <x v="14"/>
    <x v="8"/>
    <n v="126"/>
    <n v="2024"/>
    <n v="3.5"/>
    <n v="3.4"/>
    <n v="0"/>
    <n v="131"/>
    <n v="20"/>
  </r>
  <r>
    <x v="42"/>
    <x v="48"/>
    <x v="38"/>
    <x v="10"/>
    <x v="23"/>
    <n v="104"/>
    <n v="2013"/>
    <n v="3"/>
    <n v="3.5"/>
    <n v="1"/>
    <n v="101"/>
    <n v="22"/>
  </r>
  <r>
    <x v="43"/>
    <x v="49"/>
    <x v="3"/>
    <x v="9"/>
    <x v="16"/>
    <n v="139"/>
    <n v="2010"/>
    <n v="5"/>
    <n v="4.2"/>
    <n v="0"/>
    <n v="130"/>
    <n v="28"/>
  </r>
  <r>
    <x v="44"/>
    <x v="50"/>
    <x v="39"/>
    <x v="10"/>
    <x v="23"/>
    <n v="96"/>
    <n v="2024"/>
    <n v="4"/>
    <n v="3.6"/>
    <n v="0"/>
    <n v="0"/>
    <n v="0"/>
  </r>
  <r>
    <x v="45"/>
    <x v="51"/>
    <x v="40"/>
    <x v="10"/>
    <x v="8"/>
    <n v="94"/>
    <n v="2024"/>
    <n v="2"/>
    <n v="2.7"/>
    <n v="0"/>
    <n v="54"/>
    <n v="10"/>
  </r>
  <r>
    <x v="46"/>
    <x v="52"/>
    <x v="41"/>
    <x v="1"/>
    <x v="27"/>
    <n v="105"/>
    <n v="2011"/>
    <n v="3.5"/>
    <n v="3.3"/>
    <n v="0"/>
    <n v="86"/>
    <n v="17"/>
  </r>
  <r>
    <x v="47"/>
    <x v="53"/>
    <x v="42"/>
    <x v="8"/>
    <x v="28"/>
    <n v="105"/>
    <n v="2010"/>
    <n v="3.5"/>
    <n v="2.9"/>
    <n v="1"/>
    <n v="64"/>
    <n v="13"/>
  </r>
  <r>
    <x v="48"/>
    <x v="54"/>
    <x v="43"/>
    <x v="15"/>
    <x v="3"/>
    <n v="120"/>
    <n v="2024"/>
    <n v="3"/>
    <n v="2.4"/>
    <n v="0"/>
    <n v="101"/>
    <n v="19"/>
  </r>
  <r>
    <x v="49"/>
    <x v="11"/>
    <x v="8"/>
    <x v="7"/>
    <x v="9"/>
    <n v="153"/>
    <n v="2009"/>
    <n v="5"/>
    <n v="4.4000000000000004"/>
    <n v="1"/>
    <n v="184"/>
    <n v="34"/>
  </r>
  <r>
    <x v="49"/>
    <x v="55"/>
    <x v="17"/>
    <x v="0"/>
    <x v="29"/>
    <n v="146"/>
    <n v="2011"/>
    <n v="3.5"/>
    <n v="3.9"/>
    <n v="0"/>
    <n v="52"/>
    <n v="8"/>
  </r>
  <r>
    <x v="50"/>
    <x v="56"/>
    <x v="44"/>
    <x v="0"/>
    <x v="0"/>
    <n v="96"/>
    <n v="1957"/>
    <n v="5"/>
    <n v="4.5999999999999996"/>
    <n v="0"/>
    <n v="428"/>
    <n v="76"/>
  </r>
  <r>
    <x v="51"/>
    <x v="57"/>
    <x v="45"/>
    <x v="9"/>
    <x v="16"/>
    <n v="105"/>
    <n v="2007"/>
    <n v="3"/>
    <n v="3.1"/>
    <n v="0"/>
    <n v="129"/>
    <n v="25"/>
  </r>
  <r>
    <x v="52"/>
    <x v="58"/>
    <x v="46"/>
    <x v="15"/>
    <x v="30"/>
    <n v="123"/>
    <n v="2004"/>
    <n v="4.5"/>
    <n v="3.8"/>
    <n v="1"/>
    <n v="96"/>
    <n v="19"/>
  </r>
  <r>
    <x v="52"/>
    <x v="59"/>
    <x v="47"/>
    <x v="8"/>
    <x v="3"/>
    <n v="113"/>
    <n v="2007"/>
    <n v="5"/>
    <n v="3.9"/>
    <n v="0"/>
    <n v="207"/>
    <n v="35"/>
  </r>
  <r>
    <x v="53"/>
    <x v="60"/>
    <x v="48"/>
    <x v="8"/>
    <x v="31"/>
    <n v="112"/>
    <n v="2018"/>
    <n v="3.5"/>
    <n v="3.7"/>
    <n v="0"/>
    <n v="395"/>
    <n v="70"/>
  </r>
  <r>
    <x v="54"/>
    <x v="61"/>
    <x v="49"/>
    <x v="0"/>
    <x v="32"/>
    <n v="112"/>
    <n v="2023"/>
    <n v="3.5"/>
    <n v="3.6"/>
    <n v="0"/>
    <n v="173"/>
    <n v="30"/>
  </r>
  <r>
    <x v="55"/>
    <x v="62"/>
    <x v="50"/>
    <x v="10"/>
    <x v="24"/>
    <n v="101"/>
    <n v="2024"/>
    <n v="4"/>
    <n v="4.2"/>
    <n v="0"/>
    <n v="79"/>
    <n v="10"/>
  </r>
  <r>
    <x v="56"/>
    <x v="63"/>
    <x v="51"/>
    <x v="9"/>
    <x v="5"/>
    <n v="158"/>
    <n v="2024"/>
    <n v="1.5"/>
    <n v="2.4"/>
    <n v="0"/>
    <n v="448"/>
    <n v="79"/>
  </r>
  <r>
    <x v="57"/>
    <x v="64"/>
    <x v="52"/>
    <x v="9"/>
    <x v="33"/>
    <n v="118"/>
    <n v="1991"/>
    <n v="4.5"/>
    <n v="4.3"/>
    <n v="0"/>
    <n v="247"/>
    <n v="46"/>
  </r>
  <r>
    <x v="58"/>
    <x v="65"/>
    <x v="53"/>
    <x v="14"/>
    <x v="32"/>
    <n v="116"/>
    <n v="2024"/>
    <n v="2.5"/>
    <n v="2.2999999999999998"/>
    <n v="0"/>
    <n v="59"/>
    <n v="10"/>
  </r>
  <r>
    <x v="59"/>
    <x v="66"/>
    <x v="54"/>
    <x v="10"/>
    <x v="24"/>
    <n v="92"/>
    <n v="2008"/>
    <n v="4"/>
    <n v="3.9"/>
    <n v="0"/>
    <n v="273"/>
    <n v="50"/>
  </r>
  <r>
    <x v="60"/>
    <x v="43"/>
    <x v="33"/>
    <x v="10"/>
    <x v="24"/>
    <n v="93"/>
    <n v="2004"/>
    <n v="5"/>
    <n v="4.0999999999999996"/>
    <n v="1"/>
    <n v="244"/>
    <n v="48"/>
  </r>
  <r>
    <x v="61"/>
    <x v="67"/>
    <x v="55"/>
    <x v="1"/>
    <x v="13"/>
    <n v="149"/>
    <n v="1968"/>
    <n v="4.5"/>
    <n v="4.3"/>
    <n v="0"/>
    <n v="784"/>
    <n v="138"/>
  </r>
  <r>
    <x v="62"/>
    <x v="68"/>
    <x v="56"/>
    <x v="8"/>
    <x v="8"/>
    <n v="88"/>
    <n v="2002"/>
    <n v="3"/>
    <n v="2.9"/>
    <n v="1"/>
    <n v="58"/>
    <n v="11"/>
  </r>
  <r>
    <x v="63"/>
    <x v="69"/>
    <x v="24"/>
    <x v="1"/>
    <x v="34"/>
    <n v="146"/>
    <n v="2013"/>
    <n v="3"/>
    <n v="3.9"/>
    <n v="1"/>
    <n v="83"/>
    <n v="17"/>
  </r>
  <r>
    <x v="64"/>
    <x v="70"/>
    <x v="24"/>
    <x v="1"/>
    <x v="34"/>
    <n v="123"/>
    <n v="2014"/>
    <n v="2"/>
    <n v="3.3"/>
    <n v="1"/>
    <n v="890"/>
    <n v="156"/>
  </r>
  <r>
    <x v="65"/>
    <x v="71"/>
    <x v="24"/>
    <x v="1"/>
    <x v="34"/>
    <n v="137"/>
    <n v="2015"/>
    <n v="3.5"/>
    <n v="3.4"/>
    <n v="0"/>
    <n v="305"/>
    <n v="55"/>
  </r>
  <r>
    <x v="66"/>
    <x v="72"/>
    <x v="57"/>
    <x v="4"/>
    <x v="16"/>
    <n v="116"/>
    <n v="2003"/>
    <n v="4"/>
    <n v="3.7"/>
    <n v="1"/>
    <n v="188"/>
    <n v="35"/>
  </r>
  <r>
    <x v="67"/>
    <x v="73"/>
    <x v="58"/>
    <x v="1"/>
    <x v="8"/>
    <n v="116"/>
    <n v="1985"/>
    <n v="5"/>
    <n v="4.2"/>
    <n v="1"/>
    <n v="446"/>
    <n v="80"/>
  </r>
  <r>
    <x v="67"/>
    <x v="74"/>
    <x v="58"/>
    <x v="1"/>
    <x v="8"/>
    <n v="108"/>
    <n v="1989"/>
    <n v="4"/>
    <n v="3.9"/>
    <n v="1"/>
    <n v="1006"/>
    <n v="186"/>
  </r>
  <r>
    <x v="68"/>
    <x v="75"/>
    <x v="59"/>
    <x v="6"/>
    <x v="0"/>
    <n v="161"/>
    <n v="1966"/>
    <n v="5"/>
    <n v="4.5"/>
    <n v="0"/>
    <n v="1050"/>
    <n v="204"/>
  </r>
  <r>
    <x v="68"/>
    <x v="76"/>
    <x v="58"/>
    <x v="1"/>
    <x v="8"/>
    <n v="118"/>
    <n v="1990"/>
    <n v="5"/>
    <n v="3.6"/>
    <n v="1"/>
    <n v="1174"/>
    <n v="220"/>
  </r>
  <r>
    <x v="69"/>
    <x v="77"/>
    <x v="60"/>
    <x v="9"/>
    <x v="8"/>
    <n v="117"/>
    <n v="2016"/>
    <n v="3.5"/>
    <n v="3.5"/>
    <n v="0"/>
    <n v="244"/>
    <n v="44"/>
  </r>
  <r>
    <x v="70"/>
    <x v="78"/>
    <x v="61"/>
    <x v="16"/>
    <x v="5"/>
    <n v="152"/>
    <n v="2001"/>
    <n v="3.5"/>
    <n v="3.8"/>
    <n v="0"/>
    <n v="248"/>
    <n v="46"/>
  </r>
  <r>
    <x v="71"/>
    <x v="79"/>
    <x v="62"/>
    <x v="0"/>
    <x v="3"/>
    <n v="133"/>
    <n v="2011"/>
    <n v="4"/>
    <n v="3.9"/>
    <n v="0"/>
    <n v="336"/>
    <n v="59"/>
  </r>
  <r>
    <x v="72"/>
    <x v="80"/>
    <x v="24"/>
    <x v="1"/>
    <x v="34"/>
    <n v="158"/>
    <n v="2023"/>
    <n v="4"/>
    <n v="3.6"/>
    <n v="0"/>
    <n v="550"/>
    <n v="98"/>
  </r>
  <r>
    <x v="73"/>
    <x v="81"/>
    <x v="63"/>
    <x v="13"/>
    <x v="8"/>
    <n v="93"/>
    <n v="2014"/>
    <n v="4"/>
    <n v="3.2"/>
    <n v="1"/>
    <n v="356"/>
    <n v="60"/>
  </r>
  <r>
    <x v="74"/>
    <x v="82"/>
    <x v="64"/>
    <x v="11"/>
    <x v="8"/>
    <n v="108"/>
    <n v="2008"/>
    <n v="5"/>
    <n v="3.8"/>
    <n v="0"/>
    <n v="249"/>
    <n v="37"/>
  </r>
  <r>
    <x v="75"/>
    <x v="83"/>
    <x v="65"/>
    <x v="5"/>
    <x v="35"/>
    <n v="94"/>
    <n v="2023"/>
    <n v="3"/>
    <n v="3.2"/>
    <n v="0"/>
    <n v="338"/>
    <n v="57"/>
  </r>
  <r>
    <x v="76"/>
    <x v="84"/>
    <x v="66"/>
    <x v="17"/>
    <x v="5"/>
    <n v="101"/>
    <n v="2025"/>
    <n v="2.5"/>
    <n v="2.5"/>
    <n v="0"/>
    <n v="69"/>
    <n v="12"/>
  </r>
  <r>
    <x v="77"/>
    <x v="85"/>
    <x v="67"/>
    <x v="4"/>
    <x v="16"/>
    <n v="127"/>
    <n v="2000"/>
    <n v="3"/>
    <n v="2.8"/>
    <n v="0"/>
    <n v="99"/>
    <n v="18"/>
  </r>
  <r>
    <x v="78"/>
    <x v="86"/>
    <x v="68"/>
    <x v="4"/>
    <x v="34"/>
    <n v="102"/>
    <n v="2014"/>
    <n v="2"/>
    <n v="3.6"/>
    <n v="0"/>
    <n v="586"/>
    <n v="105"/>
  </r>
  <r>
    <x v="78"/>
    <x v="87"/>
    <x v="69"/>
    <x v="10"/>
    <x v="8"/>
    <n v="86"/>
    <n v="2012"/>
    <n v="3.5"/>
    <n v="3.3"/>
    <n v="1"/>
    <n v="75"/>
    <n v="12"/>
  </r>
  <r>
    <x v="79"/>
    <x v="88"/>
    <x v="61"/>
    <x v="16"/>
    <x v="5"/>
    <n v="161"/>
    <n v="2002"/>
    <n v="3"/>
    <n v="3.6"/>
    <n v="0"/>
    <n v="227"/>
    <n v="43"/>
  </r>
  <r>
    <x v="79"/>
    <x v="89"/>
    <x v="70"/>
    <x v="16"/>
    <x v="5"/>
    <n v="142"/>
    <n v="2004"/>
    <n v="4"/>
    <n v="4.0999999999999996"/>
    <n v="0"/>
    <n v="307"/>
    <n v="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68BFEA-7B82-4517-906F-E7F0851DACFB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3:B16" firstHeaderRow="1" firstDataRow="1" firstDataCol="1"/>
  <pivotFields count="15">
    <pivotField numFmtId="14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dataField="1" showAll="0" sortType="descending">
      <items count="91">
        <item x="56"/>
        <item x="67"/>
        <item x="46"/>
        <item x="84"/>
        <item x="20"/>
        <item x="61"/>
        <item x="4"/>
        <item x="45"/>
        <item x="81"/>
        <item x="73"/>
        <item x="74"/>
        <item x="76"/>
        <item x="39"/>
        <item x="68"/>
        <item x="42"/>
        <item x="1"/>
        <item x="9"/>
        <item x="8"/>
        <item x="31"/>
        <item x="36"/>
        <item x="30"/>
        <item x="5"/>
        <item x="51"/>
        <item x="57"/>
        <item x="10"/>
        <item x="2"/>
        <item x="35"/>
        <item x="21"/>
        <item x="13"/>
        <item x="7"/>
        <item x="88"/>
        <item x="78"/>
        <item x="89"/>
        <item x="72"/>
        <item x="34"/>
        <item x="40"/>
        <item x="11"/>
        <item x="50"/>
        <item x="54"/>
        <item x="25"/>
        <item x="63"/>
        <item x="66"/>
        <item x="19"/>
        <item x="16"/>
        <item x="52"/>
        <item x="86"/>
        <item x="37"/>
        <item x="82"/>
        <item x="79"/>
        <item x="48"/>
        <item x="18"/>
        <item x="38"/>
        <item x="26"/>
        <item x="65"/>
        <item x="0"/>
        <item x="43"/>
        <item x="49"/>
        <item x="60"/>
        <item x="14"/>
        <item x="77"/>
        <item x="59"/>
        <item x="3"/>
        <item x="44"/>
        <item x="41"/>
        <item x="12"/>
        <item x="47"/>
        <item x="24"/>
        <item x="75"/>
        <item x="17"/>
        <item x="55"/>
        <item x="33"/>
        <item x="69"/>
        <item x="70"/>
        <item x="71"/>
        <item x="80"/>
        <item x="32"/>
        <item x="28"/>
        <item x="87"/>
        <item x="58"/>
        <item x="29"/>
        <item x="64"/>
        <item x="27"/>
        <item x="22"/>
        <item x="62"/>
        <item x="23"/>
        <item x="15"/>
        <item x="85"/>
        <item x="6"/>
        <item x="83"/>
        <item x="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72">
        <item x="16"/>
        <item x="70"/>
        <item x="33"/>
        <item x="42"/>
        <item x="65"/>
        <item x="49"/>
        <item x="62"/>
        <item x="48"/>
        <item x="61"/>
        <item x="19"/>
        <item x="69"/>
        <item x="40"/>
        <item x="50"/>
        <item x="68"/>
        <item x="30"/>
        <item x="45"/>
        <item x="6"/>
        <item x="38"/>
        <item x="36"/>
        <item x="32"/>
        <item x="10"/>
        <item x="9"/>
        <item x="37"/>
        <item x="1"/>
        <item x="7"/>
        <item x="57"/>
        <item x="27"/>
        <item x="24"/>
        <item x="23"/>
        <item x="5"/>
        <item x="47"/>
        <item x="29"/>
        <item x="26"/>
        <item x="53"/>
        <item x="66"/>
        <item x="11"/>
        <item x="28"/>
        <item x="63"/>
        <item x="0"/>
        <item x="52"/>
        <item x="31"/>
        <item x="43"/>
        <item x="18"/>
        <item x="39"/>
        <item x="60"/>
        <item x="54"/>
        <item x="3"/>
        <item x="4"/>
        <item x="67"/>
        <item x="41"/>
        <item x="46"/>
        <item x="25"/>
        <item x="64"/>
        <item x="8"/>
        <item x="15"/>
        <item x="13"/>
        <item x="58"/>
        <item x="20"/>
        <item x="2"/>
        <item x="59"/>
        <item x="34"/>
        <item x="56"/>
        <item x="44"/>
        <item x="55"/>
        <item x="17"/>
        <item x="22"/>
        <item x="21"/>
        <item x="51"/>
        <item x="12"/>
        <item x="14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9">
        <item x="14"/>
        <item x="10"/>
        <item x="17"/>
        <item x="7"/>
        <item x="12"/>
        <item x="1"/>
        <item x="8"/>
        <item x="3"/>
        <item x="5"/>
        <item x="0"/>
        <item x="16"/>
        <item x="11"/>
        <item x="15"/>
        <item x="4"/>
        <item x="2"/>
        <item x="9"/>
        <item x="1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37">
        <item x="10"/>
        <item x="26"/>
        <item x="12"/>
        <item x="1"/>
        <item x="32"/>
        <item x="31"/>
        <item x="6"/>
        <item x="3"/>
        <item x="24"/>
        <item x="29"/>
        <item x="21"/>
        <item x="17"/>
        <item x="14"/>
        <item x="22"/>
        <item x="4"/>
        <item x="34"/>
        <item x="2"/>
        <item x="13"/>
        <item x="19"/>
        <item x="25"/>
        <item x="35"/>
        <item x="30"/>
        <item x="33"/>
        <item x="16"/>
        <item x="23"/>
        <item x="27"/>
        <item x="11"/>
        <item x="15"/>
        <item x="9"/>
        <item x="28"/>
        <item x="0"/>
        <item x="8"/>
        <item x="18"/>
        <item x="20"/>
        <item x="7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uenta de pelicula_txt" fld="1" subtotal="count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D621E1-B1CB-4AB3-A15B-7D1986680C1C}" name="Tabla1" displayName="Tabla1" ref="A1:L128" totalsRowShown="0">
  <autoFilter ref="A1:L128" xr:uid="{BED621E1-B1CB-4AB3-A15B-7D1986680C1C}"/>
  <sortState xmlns:xlrd2="http://schemas.microsoft.com/office/spreadsheetml/2017/richdata2" ref="A2:L128">
    <sortCondition ref="H1:H128"/>
  </sortState>
  <tableColumns count="12">
    <tableColumn id="1" xr3:uid="{00C3BF5F-60BB-43AC-9532-EF76B2C5FF27}" name="fecha_dt" dataDxfId="0"/>
    <tableColumn id="2" xr3:uid="{ABA54BB1-7EF7-4C04-8E33-AE48876051F6}" name="pelicula_txt"/>
    <tableColumn id="3" xr3:uid="{857EB858-BED5-42FD-8FD2-B4D68E6157E2}" name="director_txt"/>
    <tableColumn id="4" xr3:uid="{519E5D93-419D-4E80-8978-EF1E1CD6CF19}" name="genero"/>
    <tableColumn id="5" xr3:uid="{F68C4D14-84E2-44D7-80B8-DDC5284AFCE3}" name="Estudio"/>
    <tableColumn id="6" xr3:uid="{EAC9DEA1-5994-4B13-B139-F8A6C7E16309}" name="duracion_mins"/>
    <tableColumn id="7" xr3:uid="{086F9CC9-ABFB-4D4C-9CA5-329DD4587055}" name="año"/>
    <tableColumn id="8" xr3:uid="{812BF19A-B766-460E-8900-3028D236CEC1}" name="calificacion_prsnl"/>
    <tableColumn id="9" xr3:uid="{D64CB6EE-37FF-4D2A-BD62-14B0BFE3348E}" name="promedio_letterboxd"/>
    <tableColumn id="10" xr3:uid="{157CC6B9-5782-4E3A-90AB-5814D542F388}" name="rewatch_flag"/>
    <tableColumn id="11" xr3:uid="{A48F8304-EE51-4755-8A6D-F7419F2C11F5}" name="caracteres_review"/>
    <tableColumn id="12" xr3:uid="{1DDBF870-3CF5-4FCF-9148-DA77652E3681}" name="Palabras_revi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letterboxd.com/dguzman/film/stranger-things-5-the-final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6CFB-9B95-4BC5-9A0A-60D418B0D7FA}">
  <dimension ref="A1:L128"/>
  <sheetViews>
    <sheetView tabSelected="1" topLeftCell="C1" zoomScale="125" workbookViewId="0">
      <selection activeCell="G2" sqref="G2"/>
    </sheetView>
  </sheetViews>
  <sheetFormatPr baseColWidth="10" defaultRowHeight="15" x14ac:dyDescent="0.2"/>
  <cols>
    <col min="1" max="1" width="10.33203125" bestFit="1" customWidth="1"/>
    <col min="2" max="2" width="43.83203125" bestFit="1" customWidth="1"/>
    <col min="3" max="3" width="45.33203125" bestFit="1" customWidth="1"/>
    <col min="4" max="4" width="13.5" customWidth="1"/>
    <col min="5" max="5" width="25.1640625" customWidth="1"/>
    <col min="6" max="6" width="15.1640625" customWidth="1"/>
    <col min="7" max="7" width="5.83203125" customWidth="1"/>
    <col min="8" max="8" width="17.6640625" customWidth="1"/>
    <col min="9" max="9" width="20.5" customWidth="1"/>
    <col min="10" max="10" width="13.33203125" customWidth="1"/>
    <col min="11" max="11" width="18" customWidth="1"/>
    <col min="12" max="12" width="16.5" customWidth="1"/>
  </cols>
  <sheetData>
    <row r="1" spans="1:12" x14ac:dyDescent="0.2">
      <c r="A1" t="s">
        <v>0</v>
      </c>
      <c r="B1" t="s">
        <v>1</v>
      </c>
      <c r="C1" t="s">
        <v>3</v>
      </c>
      <c r="D1" t="s">
        <v>7</v>
      </c>
      <c r="E1" t="s">
        <v>99</v>
      </c>
      <c r="F1" t="s">
        <v>4</v>
      </c>
      <c r="G1" t="s">
        <v>5</v>
      </c>
      <c r="H1" t="s">
        <v>2</v>
      </c>
      <c r="I1" t="s">
        <v>8</v>
      </c>
      <c r="J1" t="s">
        <v>6</v>
      </c>
      <c r="K1" t="s">
        <v>225</v>
      </c>
      <c r="L1" t="s">
        <v>226</v>
      </c>
    </row>
    <row r="2" spans="1:12" x14ac:dyDescent="0.2">
      <c r="A2" s="1">
        <v>45569</v>
      </c>
      <c r="B2" t="s">
        <v>74</v>
      </c>
      <c r="C2" t="s">
        <v>193</v>
      </c>
      <c r="D2" t="s">
        <v>124</v>
      </c>
      <c r="E2" t="s">
        <v>111</v>
      </c>
      <c r="F2">
        <v>158</v>
      </c>
      <c r="G2">
        <v>2024</v>
      </c>
      <c r="H2">
        <v>1.5</v>
      </c>
      <c r="I2">
        <v>2.4</v>
      </c>
      <c r="J2">
        <v>0</v>
      </c>
      <c r="K2">
        <v>448</v>
      </c>
      <c r="L2">
        <v>79</v>
      </c>
    </row>
    <row r="3" spans="1:12" x14ac:dyDescent="0.2">
      <c r="A3" s="7">
        <v>45870</v>
      </c>
      <c r="B3" t="s">
        <v>268</v>
      </c>
      <c r="C3" t="s">
        <v>299</v>
      </c>
      <c r="D3" t="s">
        <v>144</v>
      </c>
      <c r="E3" t="s">
        <v>313</v>
      </c>
      <c r="F3">
        <v>119</v>
      </c>
      <c r="G3">
        <v>2024</v>
      </c>
      <c r="H3">
        <v>1.5</v>
      </c>
      <c r="I3">
        <v>2.8</v>
      </c>
      <c r="J3">
        <v>0</v>
      </c>
    </row>
    <row r="4" spans="1:12" x14ac:dyDescent="0.2">
      <c r="A4" s="1">
        <v>45087</v>
      </c>
      <c r="B4" t="s">
        <v>32</v>
      </c>
      <c r="C4" t="s">
        <v>132</v>
      </c>
      <c r="D4" t="s">
        <v>110</v>
      </c>
      <c r="E4" t="s">
        <v>133</v>
      </c>
      <c r="F4">
        <v>100</v>
      </c>
      <c r="G4">
        <v>2014</v>
      </c>
      <c r="H4">
        <v>2</v>
      </c>
      <c r="I4">
        <v>4.2</v>
      </c>
      <c r="J4">
        <v>0</v>
      </c>
      <c r="K4">
        <v>129</v>
      </c>
      <c r="L4">
        <v>25</v>
      </c>
    </row>
    <row r="5" spans="1:12" x14ac:dyDescent="0.2">
      <c r="A5" s="1">
        <v>45485</v>
      </c>
      <c r="B5" t="s">
        <v>62</v>
      </c>
      <c r="C5" t="s">
        <v>178</v>
      </c>
      <c r="D5" t="s">
        <v>126</v>
      </c>
      <c r="E5" t="s">
        <v>114</v>
      </c>
      <c r="F5">
        <v>94</v>
      </c>
      <c r="G5">
        <v>2024</v>
      </c>
      <c r="H5">
        <v>2</v>
      </c>
      <c r="I5">
        <v>2.7</v>
      </c>
      <c r="J5">
        <v>0</v>
      </c>
      <c r="K5">
        <v>54</v>
      </c>
      <c r="L5">
        <v>10</v>
      </c>
    </row>
    <row r="6" spans="1:12" x14ac:dyDescent="0.2">
      <c r="A6" s="1">
        <v>45657</v>
      </c>
      <c r="B6" t="s">
        <v>80</v>
      </c>
      <c r="C6" t="s">
        <v>158</v>
      </c>
      <c r="D6" t="s">
        <v>102</v>
      </c>
      <c r="E6" t="s">
        <v>201</v>
      </c>
      <c r="F6">
        <v>123</v>
      </c>
      <c r="G6">
        <v>2014</v>
      </c>
      <c r="H6">
        <v>2</v>
      </c>
      <c r="I6">
        <v>3.3</v>
      </c>
      <c r="J6">
        <v>1</v>
      </c>
      <c r="K6">
        <v>890</v>
      </c>
      <c r="L6">
        <v>156</v>
      </c>
    </row>
    <row r="7" spans="1:12" x14ac:dyDescent="0.2">
      <c r="A7" s="1">
        <v>45767</v>
      </c>
      <c r="B7" t="s">
        <v>95</v>
      </c>
      <c r="C7" t="s">
        <v>217</v>
      </c>
      <c r="D7" t="s">
        <v>22</v>
      </c>
      <c r="E7" t="s">
        <v>201</v>
      </c>
      <c r="F7">
        <v>102</v>
      </c>
      <c r="G7">
        <v>2014</v>
      </c>
      <c r="H7">
        <v>2</v>
      </c>
      <c r="I7">
        <v>3.6</v>
      </c>
      <c r="J7">
        <v>0</v>
      </c>
      <c r="K7">
        <v>586</v>
      </c>
      <c r="L7">
        <v>105</v>
      </c>
    </row>
    <row r="8" spans="1:12" x14ac:dyDescent="0.2">
      <c r="A8" s="7">
        <v>46003</v>
      </c>
      <c r="B8" t="s">
        <v>292</v>
      </c>
      <c r="C8" t="s">
        <v>312</v>
      </c>
      <c r="D8" t="s">
        <v>144</v>
      </c>
      <c r="E8" t="s">
        <v>321</v>
      </c>
      <c r="F8">
        <v>104</v>
      </c>
      <c r="G8">
        <v>2025</v>
      </c>
      <c r="H8">
        <v>2</v>
      </c>
      <c r="I8">
        <v>2.6</v>
      </c>
      <c r="J8">
        <v>0</v>
      </c>
    </row>
    <row r="9" spans="1:12" x14ac:dyDescent="0.2">
      <c r="A9" s="1">
        <v>45103</v>
      </c>
      <c r="B9" t="s">
        <v>38</v>
      </c>
      <c r="C9" t="s">
        <v>145</v>
      </c>
      <c r="D9" t="s">
        <v>124</v>
      </c>
      <c r="E9" t="s">
        <v>114</v>
      </c>
      <c r="F9">
        <v>112</v>
      </c>
      <c r="G9">
        <v>2016</v>
      </c>
      <c r="H9">
        <v>2.5</v>
      </c>
      <c r="I9">
        <v>2.9</v>
      </c>
      <c r="J9">
        <v>0</v>
      </c>
      <c r="K9">
        <v>342</v>
      </c>
      <c r="L9">
        <v>58</v>
      </c>
    </row>
    <row r="10" spans="1:12" x14ac:dyDescent="0.2">
      <c r="A10" s="1">
        <v>45619</v>
      </c>
      <c r="B10" t="s">
        <v>76</v>
      </c>
      <c r="C10" t="s">
        <v>196</v>
      </c>
      <c r="D10" t="s">
        <v>173</v>
      </c>
      <c r="E10" t="s">
        <v>191</v>
      </c>
      <c r="F10">
        <v>116</v>
      </c>
      <c r="G10">
        <v>2024</v>
      </c>
      <c r="H10">
        <v>2.5</v>
      </c>
      <c r="I10">
        <v>2.2999999999999998</v>
      </c>
      <c r="J10">
        <v>0</v>
      </c>
      <c r="K10">
        <v>59</v>
      </c>
      <c r="L10">
        <v>10</v>
      </c>
    </row>
    <row r="11" spans="1:12" x14ac:dyDescent="0.2">
      <c r="A11" s="1">
        <v>45752</v>
      </c>
      <c r="B11" t="s">
        <v>93</v>
      </c>
      <c r="C11" t="s">
        <v>214</v>
      </c>
      <c r="D11" t="s">
        <v>215</v>
      </c>
      <c r="E11" t="s">
        <v>111</v>
      </c>
      <c r="F11">
        <v>101</v>
      </c>
      <c r="G11">
        <v>2025</v>
      </c>
      <c r="H11">
        <v>2.5</v>
      </c>
      <c r="I11">
        <v>2.5</v>
      </c>
      <c r="J11">
        <v>0</v>
      </c>
      <c r="K11">
        <v>69</v>
      </c>
      <c r="L11">
        <v>12</v>
      </c>
    </row>
    <row r="12" spans="1:12" x14ac:dyDescent="0.2">
      <c r="A12" s="7">
        <v>45906</v>
      </c>
      <c r="B12" t="s">
        <v>274</v>
      </c>
      <c r="C12" t="s">
        <v>302</v>
      </c>
      <c r="D12" t="s">
        <v>144</v>
      </c>
      <c r="E12" t="s">
        <v>316</v>
      </c>
      <c r="F12">
        <v>77</v>
      </c>
      <c r="G12">
        <v>2014</v>
      </c>
      <c r="H12">
        <v>2.5</v>
      </c>
      <c r="I12">
        <v>3.3</v>
      </c>
      <c r="J12">
        <v>0</v>
      </c>
    </row>
    <row r="13" spans="1:12" x14ac:dyDescent="0.2">
      <c r="A13" s="7">
        <v>38602</v>
      </c>
      <c r="B13" t="s">
        <v>275</v>
      </c>
      <c r="C13" t="s">
        <v>303</v>
      </c>
      <c r="D13" t="s">
        <v>144</v>
      </c>
      <c r="E13" t="s">
        <v>122</v>
      </c>
      <c r="F13">
        <v>100</v>
      </c>
      <c r="G13">
        <v>2007</v>
      </c>
      <c r="H13">
        <v>2.5</v>
      </c>
      <c r="I13">
        <v>2.9</v>
      </c>
      <c r="J13">
        <v>0</v>
      </c>
    </row>
    <row r="14" spans="1:12" x14ac:dyDescent="0.2">
      <c r="A14" s="7">
        <v>45917</v>
      </c>
      <c r="B14" t="s">
        <v>282</v>
      </c>
      <c r="C14" t="s">
        <v>306</v>
      </c>
      <c r="D14" t="s">
        <v>139</v>
      </c>
      <c r="E14" t="s">
        <v>113</v>
      </c>
      <c r="F14">
        <v>110</v>
      </c>
      <c r="G14">
        <v>2016</v>
      </c>
      <c r="H14">
        <v>2.5</v>
      </c>
      <c r="I14">
        <v>3.5</v>
      </c>
      <c r="J14">
        <v>0</v>
      </c>
    </row>
    <row r="15" spans="1:12" x14ac:dyDescent="0.2">
      <c r="A15" s="7">
        <v>45919</v>
      </c>
      <c r="B15" t="s">
        <v>283</v>
      </c>
      <c r="C15" t="s">
        <v>169</v>
      </c>
      <c r="D15" t="s">
        <v>110</v>
      </c>
      <c r="E15" t="s">
        <v>114</v>
      </c>
      <c r="F15">
        <v>115</v>
      </c>
      <c r="G15">
        <v>2015</v>
      </c>
      <c r="H15">
        <v>2.5</v>
      </c>
      <c r="I15">
        <v>2.8</v>
      </c>
      <c r="J15">
        <v>0</v>
      </c>
    </row>
    <row r="16" spans="1:12" x14ac:dyDescent="0.2">
      <c r="A16" s="7">
        <v>45936</v>
      </c>
      <c r="B16" t="s">
        <v>287</v>
      </c>
      <c r="C16" t="s">
        <v>308</v>
      </c>
      <c r="D16" t="s">
        <v>318</v>
      </c>
      <c r="E16" t="s">
        <v>113</v>
      </c>
      <c r="F16">
        <v>140</v>
      </c>
      <c r="G16">
        <v>2018</v>
      </c>
      <c r="H16">
        <v>2.5</v>
      </c>
      <c r="I16">
        <v>3.3</v>
      </c>
      <c r="J16">
        <v>0</v>
      </c>
    </row>
    <row r="17" spans="1:12" x14ac:dyDescent="0.2">
      <c r="A17" s="1">
        <v>44712</v>
      </c>
      <c r="B17" t="s">
        <v>12</v>
      </c>
      <c r="C17" t="s">
        <v>19</v>
      </c>
      <c r="D17" t="s">
        <v>105</v>
      </c>
      <c r="E17" t="s">
        <v>106</v>
      </c>
      <c r="F17">
        <v>126</v>
      </c>
      <c r="G17">
        <v>2022</v>
      </c>
      <c r="H17">
        <v>3</v>
      </c>
      <c r="I17">
        <v>2.9</v>
      </c>
      <c r="J17">
        <v>0</v>
      </c>
      <c r="K17">
        <v>327</v>
      </c>
      <c r="L17">
        <v>60</v>
      </c>
    </row>
    <row r="18" spans="1:12" x14ac:dyDescent="0.2">
      <c r="A18" s="1">
        <v>44728</v>
      </c>
      <c r="B18" t="s">
        <v>15</v>
      </c>
      <c r="C18" t="s">
        <v>109</v>
      </c>
      <c r="D18" t="s">
        <v>22</v>
      </c>
      <c r="E18" t="s">
        <v>111</v>
      </c>
      <c r="F18">
        <v>118</v>
      </c>
      <c r="G18">
        <v>2011</v>
      </c>
      <c r="H18">
        <v>3</v>
      </c>
      <c r="I18">
        <v>3.7</v>
      </c>
      <c r="J18">
        <v>0</v>
      </c>
      <c r="K18">
        <v>212</v>
      </c>
      <c r="L18">
        <v>39</v>
      </c>
    </row>
    <row r="19" spans="1:12" x14ac:dyDescent="0.2">
      <c r="A19" s="1">
        <v>45103</v>
      </c>
      <c r="B19" t="s">
        <v>37</v>
      </c>
      <c r="C19" t="s">
        <v>143</v>
      </c>
      <c r="D19" t="s">
        <v>144</v>
      </c>
      <c r="E19" t="s">
        <v>220</v>
      </c>
      <c r="F19">
        <v>102</v>
      </c>
      <c r="G19">
        <v>2009</v>
      </c>
      <c r="H19">
        <v>3</v>
      </c>
      <c r="I19">
        <v>3.4</v>
      </c>
      <c r="J19">
        <v>0</v>
      </c>
      <c r="K19">
        <v>68</v>
      </c>
      <c r="L19">
        <v>15</v>
      </c>
    </row>
    <row r="20" spans="1:12" x14ac:dyDescent="0.2">
      <c r="A20" s="1">
        <v>45332</v>
      </c>
      <c r="B20" t="s">
        <v>57</v>
      </c>
      <c r="C20" t="s">
        <v>170</v>
      </c>
      <c r="D20" t="s">
        <v>22</v>
      </c>
      <c r="E20" t="s">
        <v>104</v>
      </c>
      <c r="F20">
        <v>103</v>
      </c>
      <c r="G20">
        <v>2023</v>
      </c>
      <c r="H20">
        <v>3</v>
      </c>
      <c r="I20">
        <v>2.9</v>
      </c>
      <c r="J20">
        <v>0</v>
      </c>
      <c r="K20">
        <v>64</v>
      </c>
      <c r="L20">
        <v>13</v>
      </c>
    </row>
    <row r="21" spans="1:12" x14ac:dyDescent="0.2">
      <c r="A21" s="1">
        <v>45373</v>
      </c>
      <c r="B21" t="s">
        <v>58</v>
      </c>
      <c r="C21" t="s">
        <v>171</v>
      </c>
      <c r="D21" t="s">
        <v>144</v>
      </c>
      <c r="E21" t="s">
        <v>133</v>
      </c>
      <c r="F21">
        <v>113</v>
      </c>
      <c r="G21">
        <v>2002</v>
      </c>
      <c r="H21">
        <v>3</v>
      </c>
      <c r="I21">
        <v>3.7</v>
      </c>
      <c r="J21">
        <v>0</v>
      </c>
      <c r="K21">
        <v>61</v>
      </c>
      <c r="L21">
        <v>11</v>
      </c>
    </row>
    <row r="22" spans="1:12" x14ac:dyDescent="0.2">
      <c r="A22" s="1">
        <v>45421</v>
      </c>
      <c r="B22" t="s">
        <v>60</v>
      </c>
      <c r="C22" t="s">
        <v>174</v>
      </c>
      <c r="D22" t="s">
        <v>126</v>
      </c>
      <c r="E22" t="s">
        <v>175</v>
      </c>
      <c r="F22">
        <v>104</v>
      </c>
      <c r="G22">
        <v>2013</v>
      </c>
      <c r="H22">
        <v>3</v>
      </c>
      <c r="I22">
        <v>3.5</v>
      </c>
      <c r="J22">
        <v>1</v>
      </c>
      <c r="K22">
        <v>101</v>
      </c>
      <c r="L22">
        <v>22</v>
      </c>
    </row>
    <row r="23" spans="1:12" x14ac:dyDescent="0.2">
      <c r="A23" s="1">
        <v>45534</v>
      </c>
      <c r="B23" t="s">
        <v>65</v>
      </c>
      <c r="C23" t="s">
        <v>183</v>
      </c>
      <c r="D23" t="s">
        <v>139</v>
      </c>
      <c r="E23" t="s">
        <v>104</v>
      </c>
      <c r="F23">
        <v>120</v>
      </c>
      <c r="G23">
        <v>2024</v>
      </c>
      <c r="H23">
        <v>3</v>
      </c>
      <c r="I23">
        <v>2.4</v>
      </c>
      <c r="J23">
        <v>0</v>
      </c>
      <c r="K23">
        <v>101</v>
      </c>
      <c r="L23">
        <v>19</v>
      </c>
    </row>
    <row r="24" spans="1:12" x14ac:dyDescent="0.2">
      <c r="A24" s="1">
        <v>45547</v>
      </c>
      <c r="B24" t="s">
        <v>68</v>
      </c>
      <c r="C24" t="s">
        <v>223</v>
      </c>
      <c r="D24" t="s">
        <v>124</v>
      </c>
      <c r="E24" t="s">
        <v>142</v>
      </c>
      <c r="F24">
        <v>105</v>
      </c>
      <c r="G24">
        <v>2007</v>
      </c>
      <c r="H24">
        <v>3</v>
      </c>
      <c r="I24">
        <v>3.1</v>
      </c>
      <c r="J24">
        <v>0</v>
      </c>
      <c r="K24">
        <v>129</v>
      </c>
      <c r="L24">
        <v>25</v>
      </c>
    </row>
    <row r="25" spans="1:12" x14ac:dyDescent="0.2">
      <c r="A25" s="1">
        <v>45652</v>
      </c>
      <c r="B25" t="s">
        <v>78</v>
      </c>
      <c r="C25" t="s">
        <v>200</v>
      </c>
      <c r="D25" t="s">
        <v>110</v>
      </c>
      <c r="E25" t="s">
        <v>114</v>
      </c>
      <c r="F25">
        <v>88</v>
      </c>
      <c r="G25">
        <v>2002</v>
      </c>
      <c r="H25">
        <v>3</v>
      </c>
      <c r="I25">
        <v>2.9</v>
      </c>
      <c r="J25">
        <v>1</v>
      </c>
      <c r="K25">
        <v>58</v>
      </c>
      <c r="L25">
        <v>11</v>
      </c>
    </row>
    <row r="26" spans="1:12" x14ac:dyDescent="0.2">
      <c r="A26" s="1">
        <v>45656</v>
      </c>
      <c r="B26" t="s">
        <v>79</v>
      </c>
      <c r="C26" t="s">
        <v>158</v>
      </c>
      <c r="D26" t="s">
        <v>102</v>
      </c>
      <c r="E26" t="s">
        <v>201</v>
      </c>
      <c r="F26">
        <v>146</v>
      </c>
      <c r="G26">
        <v>2013</v>
      </c>
      <c r="H26">
        <v>3</v>
      </c>
      <c r="I26">
        <v>3.9</v>
      </c>
      <c r="J26">
        <v>1</v>
      </c>
      <c r="K26">
        <v>83</v>
      </c>
      <c r="L26">
        <v>17</v>
      </c>
    </row>
    <row r="27" spans="1:12" x14ac:dyDescent="0.2">
      <c r="A27" s="1">
        <v>45735</v>
      </c>
      <c r="B27" t="s">
        <v>92</v>
      </c>
      <c r="C27" t="s">
        <v>212</v>
      </c>
      <c r="D27" t="s">
        <v>112</v>
      </c>
      <c r="E27" t="s">
        <v>213</v>
      </c>
      <c r="F27">
        <v>94</v>
      </c>
      <c r="G27">
        <v>2023</v>
      </c>
      <c r="H27">
        <v>3</v>
      </c>
      <c r="I27">
        <v>3.2</v>
      </c>
      <c r="J27">
        <v>0</v>
      </c>
      <c r="K27">
        <v>338</v>
      </c>
      <c r="L27">
        <v>57</v>
      </c>
    </row>
    <row r="28" spans="1:12" x14ac:dyDescent="0.2">
      <c r="A28" s="1">
        <v>45766</v>
      </c>
      <c r="B28" t="s">
        <v>94</v>
      </c>
      <c r="C28" t="s">
        <v>216</v>
      </c>
      <c r="D28" t="s">
        <v>22</v>
      </c>
      <c r="E28" t="s">
        <v>142</v>
      </c>
      <c r="F28">
        <v>127</v>
      </c>
      <c r="G28">
        <v>2000</v>
      </c>
      <c r="H28">
        <v>3</v>
      </c>
      <c r="I28">
        <v>2.8</v>
      </c>
      <c r="J28">
        <v>0</v>
      </c>
      <c r="K28">
        <v>99</v>
      </c>
      <c r="L28">
        <v>18</v>
      </c>
    </row>
    <row r="29" spans="1:12" x14ac:dyDescent="0.2">
      <c r="A29" s="1">
        <v>45830</v>
      </c>
      <c r="B29" t="s">
        <v>97</v>
      </c>
      <c r="C29" t="s">
        <v>207</v>
      </c>
      <c r="D29" t="s">
        <v>208</v>
      </c>
      <c r="E29" t="s">
        <v>111</v>
      </c>
      <c r="F29">
        <v>161</v>
      </c>
      <c r="G29">
        <v>2002</v>
      </c>
      <c r="H29">
        <v>3</v>
      </c>
      <c r="I29">
        <v>3.6</v>
      </c>
      <c r="J29">
        <v>0</v>
      </c>
      <c r="K29">
        <v>227</v>
      </c>
      <c r="L29">
        <v>43</v>
      </c>
    </row>
    <row r="30" spans="1:12" x14ac:dyDescent="0.2">
      <c r="A30" s="7">
        <v>45894</v>
      </c>
      <c r="B30" t="s">
        <v>269</v>
      </c>
      <c r="C30" t="s">
        <v>300</v>
      </c>
      <c r="D30" t="s">
        <v>208</v>
      </c>
      <c r="E30" t="s">
        <v>113</v>
      </c>
      <c r="F30">
        <v>153</v>
      </c>
      <c r="G30">
        <v>2009</v>
      </c>
      <c r="H30">
        <v>3</v>
      </c>
      <c r="I30">
        <v>3.7</v>
      </c>
      <c r="J30">
        <v>0</v>
      </c>
    </row>
    <row r="31" spans="1:12" x14ac:dyDescent="0.2">
      <c r="A31" s="7">
        <v>45907</v>
      </c>
      <c r="B31" t="s">
        <v>276</v>
      </c>
      <c r="C31" t="s">
        <v>304</v>
      </c>
      <c r="D31" t="s">
        <v>16</v>
      </c>
      <c r="E31" t="s">
        <v>104</v>
      </c>
      <c r="F31">
        <v>95</v>
      </c>
      <c r="G31">
        <v>2002</v>
      </c>
      <c r="H31">
        <v>3</v>
      </c>
      <c r="I31">
        <v>4</v>
      </c>
      <c r="J31">
        <v>0</v>
      </c>
    </row>
    <row r="32" spans="1:12" x14ac:dyDescent="0.2">
      <c r="A32" s="7">
        <v>45914</v>
      </c>
      <c r="B32" t="s">
        <v>279</v>
      </c>
      <c r="C32" t="s">
        <v>305</v>
      </c>
      <c r="D32" t="s">
        <v>144</v>
      </c>
      <c r="E32" t="s">
        <v>129</v>
      </c>
      <c r="F32">
        <v>103</v>
      </c>
      <c r="G32">
        <v>2022</v>
      </c>
      <c r="H32">
        <v>3</v>
      </c>
      <c r="I32">
        <v>3.7</v>
      </c>
      <c r="J32">
        <v>0</v>
      </c>
    </row>
    <row r="33" spans="1:12" x14ac:dyDescent="0.2">
      <c r="A33" s="7">
        <v>45916</v>
      </c>
      <c r="B33" t="s">
        <v>280</v>
      </c>
      <c r="C33" t="s">
        <v>302</v>
      </c>
      <c r="D33" t="s">
        <v>144</v>
      </c>
      <c r="E33" t="s">
        <v>316</v>
      </c>
      <c r="F33">
        <v>80</v>
      </c>
      <c r="G33">
        <v>2017</v>
      </c>
      <c r="H33">
        <v>3</v>
      </c>
      <c r="I33">
        <v>3.3</v>
      </c>
      <c r="J33">
        <v>0</v>
      </c>
    </row>
    <row r="34" spans="1:12" x14ac:dyDescent="0.2">
      <c r="A34" s="7">
        <v>45937</v>
      </c>
      <c r="B34" t="s">
        <v>288</v>
      </c>
      <c r="C34" t="s">
        <v>309</v>
      </c>
      <c r="D34" t="s">
        <v>126</v>
      </c>
      <c r="E34" t="s">
        <v>213</v>
      </c>
      <c r="F34">
        <v>97</v>
      </c>
      <c r="G34">
        <v>2022</v>
      </c>
      <c r="H34">
        <v>3</v>
      </c>
      <c r="I34">
        <v>3.6</v>
      </c>
      <c r="J34">
        <v>0</v>
      </c>
    </row>
    <row r="35" spans="1:12" x14ac:dyDescent="0.2">
      <c r="A35" s="7">
        <v>46006</v>
      </c>
      <c r="B35" t="s">
        <v>293</v>
      </c>
      <c r="C35" t="s">
        <v>300</v>
      </c>
      <c r="D35" t="s">
        <v>208</v>
      </c>
      <c r="E35" t="s">
        <v>113</v>
      </c>
      <c r="F35">
        <v>132</v>
      </c>
      <c r="G35">
        <v>2016</v>
      </c>
      <c r="H35">
        <v>3</v>
      </c>
      <c r="I35">
        <v>3.2</v>
      </c>
      <c r="J35">
        <v>0</v>
      </c>
    </row>
    <row r="36" spans="1:12" x14ac:dyDescent="0.2">
      <c r="A36" s="7">
        <v>46016</v>
      </c>
      <c r="B36" t="s">
        <v>294</v>
      </c>
      <c r="C36" t="s">
        <v>300</v>
      </c>
      <c r="D36" t="s">
        <v>208</v>
      </c>
      <c r="E36" t="s">
        <v>113</v>
      </c>
      <c r="F36">
        <v>134</v>
      </c>
      <c r="G36">
        <v>2018</v>
      </c>
      <c r="H36">
        <v>3</v>
      </c>
      <c r="I36">
        <v>2.7</v>
      </c>
      <c r="J36">
        <v>0</v>
      </c>
    </row>
    <row r="37" spans="1:12" x14ac:dyDescent="0.2">
      <c r="A37" s="1">
        <v>44692</v>
      </c>
      <c r="B37" t="s">
        <v>9</v>
      </c>
      <c r="C37" t="s">
        <v>100</v>
      </c>
      <c r="D37" t="s">
        <v>16</v>
      </c>
      <c r="E37" t="s">
        <v>101</v>
      </c>
      <c r="F37">
        <v>120</v>
      </c>
      <c r="G37">
        <v>1976</v>
      </c>
      <c r="H37">
        <v>3.5</v>
      </c>
      <c r="I37">
        <v>4.0999999999999996</v>
      </c>
      <c r="J37">
        <v>1</v>
      </c>
      <c r="K37">
        <v>167</v>
      </c>
      <c r="L37">
        <v>23</v>
      </c>
    </row>
    <row r="38" spans="1:12" x14ac:dyDescent="0.2">
      <c r="A38" s="1">
        <v>44718</v>
      </c>
      <c r="B38" t="s">
        <v>13</v>
      </c>
      <c r="C38" t="s">
        <v>20</v>
      </c>
      <c r="D38" t="s">
        <v>107</v>
      </c>
      <c r="E38" t="s">
        <v>219</v>
      </c>
      <c r="F38">
        <v>102</v>
      </c>
      <c r="G38">
        <v>2000</v>
      </c>
      <c r="H38">
        <v>3.5</v>
      </c>
      <c r="I38">
        <v>3.8</v>
      </c>
      <c r="J38">
        <v>0</v>
      </c>
      <c r="K38">
        <v>289</v>
      </c>
      <c r="L38">
        <v>46</v>
      </c>
    </row>
    <row r="39" spans="1:12" x14ac:dyDescent="0.2">
      <c r="A39" s="1">
        <v>45083</v>
      </c>
      <c r="B39" t="s">
        <v>30</v>
      </c>
      <c r="C39" t="s">
        <v>128</v>
      </c>
      <c r="D39" t="s">
        <v>16</v>
      </c>
      <c r="E39" t="s">
        <v>129</v>
      </c>
      <c r="F39">
        <v>135</v>
      </c>
      <c r="G39">
        <v>2019</v>
      </c>
      <c r="H39">
        <v>3.5</v>
      </c>
      <c r="I39">
        <v>3.9</v>
      </c>
      <c r="J39">
        <v>0</v>
      </c>
      <c r="K39">
        <v>311</v>
      </c>
      <c r="L39">
        <v>53</v>
      </c>
    </row>
    <row r="40" spans="1:12" x14ac:dyDescent="0.2">
      <c r="A40" s="1">
        <v>45100</v>
      </c>
      <c r="B40" t="s">
        <v>35</v>
      </c>
      <c r="C40" t="s">
        <v>140</v>
      </c>
      <c r="D40" t="s">
        <v>126</v>
      </c>
      <c r="E40" t="s">
        <v>114</v>
      </c>
      <c r="F40">
        <v>92</v>
      </c>
      <c r="G40">
        <v>2023</v>
      </c>
      <c r="H40">
        <v>3.5</v>
      </c>
      <c r="I40">
        <v>3.2</v>
      </c>
      <c r="J40">
        <v>0</v>
      </c>
      <c r="K40">
        <v>352</v>
      </c>
      <c r="L40">
        <v>68</v>
      </c>
    </row>
    <row r="41" spans="1:12" x14ac:dyDescent="0.2">
      <c r="A41" s="1">
        <v>45105</v>
      </c>
      <c r="B41" t="s">
        <v>15</v>
      </c>
      <c r="C41" t="s">
        <v>109</v>
      </c>
      <c r="D41" t="s">
        <v>22</v>
      </c>
      <c r="E41" t="s">
        <v>111</v>
      </c>
      <c r="F41">
        <v>118</v>
      </c>
      <c r="G41">
        <v>2011</v>
      </c>
      <c r="H41">
        <v>3.5</v>
      </c>
      <c r="I41">
        <v>3.7</v>
      </c>
      <c r="J41">
        <v>1</v>
      </c>
      <c r="K41">
        <v>134</v>
      </c>
      <c r="L41">
        <v>26</v>
      </c>
    </row>
    <row r="42" spans="1:12" x14ac:dyDescent="0.2">
      <c r="A42" s="1">
        <v>45110</v>
      </c>
      <c r="B42" t="s">
        <v>43</v>
      </c>
      <c r="C42" t="s">
        <v>151</v>
      </c>
      <c r="D42" t="s">
        <v>16</v>
      </c>
      <c r="E42" t="s">
        <v>152</v>
      </c>
      <c r="F42">
        <v>136</v>
      </c>
      <c r="G42">
        <v>2005</v>
      </c>
      <c r="H42">
        <v>3.5</v>
      </c>
      <c r="I42">
        <v>3.8</v>
      </c>
      <c r="J42">
        <v>0</v>
      </c>
      <c r="K42">
        <v>234</v>
      </c>
      <c r="L42">
        <v>41</v>
      </c>
    </row>
    <row r="43" spans="1:12" x14ac:dyDescent="0.2">
      <c r="A43" s="1">
        <v>45124</v>
      </c>
      <c r="B43" t="s">
        <v>44</v>
      </c>
      <c r="C43" t="s">
        <v>153</v>
      </c>
      <c r="D43" t="s">
        <v>126</v>
      </c>
      <c r="E43" t="s">
        <v>154</v>
      </c>
      <c r="F43">
        <v>91</v>
      </c>
      <c r="G43">
        <v>1996</v>
      </c>
      <c r="H43">
        <v>3.5</v>
      </c>
      <c r="I43">
        <v>3.7</v>
      </c>
      <c r="J43">
        <v>0</v>
      </c>
      <c r="K43">
        <v>112</v>
      </c>
      <c r="L43">
        <v>22</v>
      </c>
    </row>
    <row r="44" spans="1:12" x14ac:dyDescent="0.2">
      <c r="A44" s="1">
        <v>45128</v>
      </c>
      <c r="B44" t="s">
        <v>46</v>
      </c>
      <c r="C44" t="s">
        <v>155</v>
      </c>
      <c r="D44" t="s">
        <v>126</v>
      </c>
      <c r="E44" t="s">
        <v>156</v>
      </c>
      <c r="F44">
        <v>100</v>
      </c>
      <c r="G44">
        <v>2009</v>
      </c>
      <c r="H44">
        <v>3.5</v>
      </c>
      <c r="I44">
        <v>4.2</v>
      </c>
      <c r="J44">
        <v>0</v>
      </c>
      <c r="K44">
        <v>70</v>
      </c>
      <c r="L44">
        <v>14</v>
      </c>
    </row>
    <row r="45" spans="1:12" x14ac:dyDescent="0.2">
      <c r="A45" s="1">
        <v>45128</v>
      </c>
      <c r="B45" t="s">
        <v>47</v>
      </c>
      <c r="C45" t="s">
        <v>157</v>
      </c>
      <c r="D45" t="s">
        <v>126</v>
      </c>
      <c r="E45" t="s">
        <v>175</v>
      </c>
      <c r="F45">
        <v>95</v>
      </c>
      <c r="G45">
        <v>2021</v>
      </c>
      <c r="H45">
        <v>3.5</v>
      </c>
      <c r="I45">
        <v>3.7</v>
      </c>
      <c r="J45">
        <v>1</v>
      </c>
      <c r="K45">
        <v>16</v>
      </c>
      <c r="L45">
        <v>2</v>
      </c>
    </row>
    <row r="46" spans="1:12" x14ac:dyDescent="0.2">
      <c r="A46" s="1">
        <v>45133</v>
      </c>
      <c r="B46" t="s">
        <v>50</v>
      </c>
      <c r="C46" t="s">
        <v>161</v>
      </c>
      <c r="D46" t="s">
        <v>126</v>
      </c>
      <c r="E46" t="s">
        <v>162</v>
      </c>
      <c r="F46">
        <v>102</v>
      </c>
      <c r="G46">
        <v>2022</v>
      </c>
      <c r="H46">
        <v>3.5</v>
      </c>
      <c r="I46">
        <v>4.0999999999999996</v>
      </c>
      <c r="J46">
        <v>0</v>
      </c>
      <c r="K46">
        <v>104</v>
      </c>
      <c r="L46">
        <v>18</v>
      </c>
    </row>
    <row r="47" spans="1:12" x14ac:dyDescent="0.2">
      <c r="A47" s="1">
        <v>45168</v>
      </c>
      <c r="B47" t="s">
        <v>53</v>
      </c>
      <c r="C47" t="s">
        <v>166</v>
      </c>
      <c r="D47" t="s">
        <v>126</v>
      </c>
      <c r="E47" t="s">
        <v>221</v>
      </c>
      <c r="F47">
        <v>95</v>
      </c>
      <c r="G47">
        <v>2014</v>
      </c>
      <c r="H47">
        <v>3.5</v>
      </c>
      <c r="I47">
        <v>3.7</v>
      </c>
      <c r="J47">
        <v>0</v>
      </c>
      <c r="K47">
        <v>78</v>
      </c>
      <c r="L47">
        <v>12</v>
      </c>
    </row>
    <row r="48" spans="1:12" x14ac:dyDescent="0.2">
      <c r="A48" s="1">
        <v>45408</v>
      </c>
      <c r="B48" t="s">
        <v>59</v>
      </c>
      <c r="C48" t="s">
        <v>172</v>
      </c>
      <c r="D48" t="s">
        <v>173</v>
      </c>
      <c r="E48" t="s">
        <v>114</v>
      </c>
      <c r="F48">
        <v>126</v>
      </c>
      <c r="G48">
        <v>2024</v>
      </c>
      <c r="H48">
        <v>3.5</v>
      </c>
      <c r="I48">
        <v>3.4</v>
      </c>
      <c r="J48">
        <v>0</v>
      </c>
      <c r="K48">
        <v>131</v>
      </c>
      <c r="L48">
        <v>20</v>
      </c>
    </row>
    <row r="49" spans="1:12" x14ac:dyDescent="0.2">
      <c r="A49" s="1">
        <v>45520</v>
      </c>
      <c r="B49" t="s">
        <v>63</v>
      </c>
      <c r="C49" t="s">
        <v>179</v>
      </c>
      <c r="D49" t="s">
        <v>102</v>
      </c>
      <c r="E49" t="s">
        <v>180</v>
      </c>
      <c r="F49">
        <v>105</v>
      </c>
      <c r="G49">
        <v>2011</v>
      </c>
      <c r="H49">
        <v>3.5</v>
      </c>
      <c r="I49">
        <v>3.3</v>
      </c>
      <c r="J49">
        <v>0</v>
      </c>
      <c r="K49">
        <v>86</v>
      </c>
      <c r="L49">
        <v>17</v>
      </c>
    </row>
    <row r="50" spans="1:12" x14ac:dyDescent="0.2">
      <c r="A50" s="1">
        <v>45522</v>
      </c>
      <c r="B50" t="s">
        <v>64</v>
      </c>
      <c r="C50" t="s">
        <v>181</v>
      </c>
      <c r="D50" t="s">
        <v>110</v>
      </c>
      <c r="E50" t="s">
        <v>182</v>
      </c>
      <c r="F50">
        <v>105</v>
      </c>
      <c r="G50">
        <v>2010</v>
      </c>
      <c r="H50">
        <v>3.5</v>
      </c>
      <c r="I50">
        <v>2.9</v>
      </c>
      <c r="J50">
        <v>1</v>
      </c>
      <c r="K50">
        <v>64</v>
      </c>
      <c r="L50">
        <v>13</v>
      </c>
    </row>
    <row r="51" spans="1:12" x14ac:dyDescent="0.2">
      <c r="A51" s="1">
        <v>45545</v>
      </c>
      <c r="B51" t="s">
        <v>66</v>
      </c>
      <c r="C51" t="s">
        <v>145</v>
      </c>
      <c r="D51" t="s">
        <v>16</v>
      </c>
      <c r="E51" t="s">
        <v>222</v>
      </c>
      <c r="F51">
        <v>146</v>
      </c>
      <c r="G51">
        <v>2011</v>
      </c>
      <c r="H51">
        <v>3.5</v>
      </c>
      <c r="I51">
        <v>3.9</v>
      </c>
      <c r="J51">
        <v>0</v>
      </c>
      <c r="K51">
        <v>52</v>
      </c>
      <c r="L51">
        <v>8</v>
      </c>
    </row>
    <row r="52" spans="1:12" x14ac:dyDescent="0.2">
      <c r="A52" s="1">
        <v>45553</v>
      </c>
      <c r="B52" t="s">
        <v>71</v>
      </c>
      <c r="C52" t="s">
        <v>188</v>
      </c>
      <c r="D52" t="s">
        <v>110</v>
      </c>
      <c r="E52" t="s">
        <v>189</v>
      </c>
      <c r="F52">
        <v>112</v>
      </c>
      <c r="G52">
        <v>2018</v>
      </c>
      <c r="H52">
        <v>3.5</v>
      </c>
      <c r="I52">
        <v>3.7</v>
      </c>
      <c r="J52">
        <v>0</v>
      </c>
      <c r="K52">
        <v>395</v>
      </c>
      <c r="L52">
        <v>70</v>
      </c>
    </row>
    <row r="53" spans="1:12" x14ac:dyDescent="0.2">
      <c r="A53" s="1">
        <v>45562</v>
      </c>
      <c r="B53" t="s">
        <v>72</v>
      </c>
      <c r="C53" t="s">
        <v>190</v>
      </c>
      <c r="D53" t="s">
        <v>16</v>
      </c>
      <c r="E53" t="s">
        <v>191</v>
      </c>
      <c r="F53">
        <v>112</v>
      </c>
      <c r="G53">
        <v>2023</v>
      </c>
      <c r="H53">
        <v>3.5</v>
      </c>
      <c r="I53">
        <v>3.6</v>
      </c>
      <c r="J53">
        <v>0</v>
      </c>
      <c r="K53">
        <v>173</v>
      </c>
      <c r="L53">
        <v>30</v>
      </c>
    </row>
    <row r="54" spans="1:12" x14ac:dyDescent="0.2">
      <c r="A54" s="1">
        <v>45665</v>
      </c>
      <c r="B54" t="s">
        <v>81</v>
      </c>
      <c r="C54" t="s">
        <v>158</v>
      </c>
      <c r="D54" t="s">
        <v>102</v>
      </c>
      <c r="E54" t="s">
        <v>201</v>
      </c>
      <c r="F54">
        <v>137</v>
      </c>
      <c r="G54">
        <v>2015</v>
      </c>
      <c r="H54">
        <v>3.5</v>
      </c>
      <c r="I54">
        <v>3.4</v>
      </c>
      <c r="J54">
        <v>0</v>
      </c>
      <c r="K54">
        <v>305</v>
      </c>
      <c r="L54">
        <v>55</v>
      </c>
    </row>
    <row r="55" spans="1:12" x14ac:dyDescent="0.2">
      <c r="A55" s="1">
        <v>45675</v>
      </c>
      <c r="B55" t="s">
        <v>87</v>
      </c>
      <c r="C55" t="s">
        <v>205</v>
      </c>
      <c r="D55" t="s">
        <v>124</v>
      </c>
      <c r="E55" t="s">
        <v>114</v>
      </c>
      <c r="F55">
        <v>117</v>
      </c>
      <c r="G55">
        <v>2016</v>
      </c>
      <c r="H55">
        <v>3.5</v>
      </c>
      <c r="I55">
        <v>3.5</v>
      </c>
      <c r="J55">
        <v>0</v>
      </c>
      <c r="K55">
        <v>244</v>
      </c>
      <c r="L55">
        <v>44</v>
      </c>
    </row>
    <row r="56" spans="1:12" x14ac:dyDescent="0.2">
      <c r="A56" s="1">
        <v>45682</v>
      </c>
      <c r="B56" t="s">
        <v>206</v>
      </c>
      <c r="C56" t="s">
        <v>207</v>
      </c>
      <c r="D56" t="s">
        <v>208</v>
      </c>
      <c r="E56" t="s">
        <v>111</v>
      </c>
      <c r="F56">
        <v>152</v>
      </c>
      <c r="G56">
        <v>2001</v>
      </c>
      <c r="H56">
        <v>3.5</v>
      </c>
      <c r="I56">
        <v>3.8</v>
      </c>
      <c r="J56">
        <v>0</v>
      </c>
      <c r="K56">
        <v>248</v>
      </c>
      <c r="L56">
        <v>46</v>
      </c>
    </row>
    <row r="57" spans="1:12" x14ac:dyDescent="0.2">
      <c r="A57" s="1">
        <v>45767</v>
      </c>
      <c r="B57" t="s">
        <v>96</v>
      </c>
      <c r="C57" t="s">
        <v>224</v>
      </c>
      <c r="D57" t="s">
        <v>126</v>
      </c>
      <c r="E57" t="s">
        <v>114</v>
      </c>
      <c r="F57">
        <v>86</v>
      </c>
      <c r="G57">
        <v>2012</v>
      </c>
      <c r="H57">
        <v>3.5</v>
      </c>
      <c r="I57">
        <v>3.3</v>
      </c>
      <c r="J57">
        <v>1</v>
      </c>
      <c r="K57">
        <v>75</v>
      </c>
      <c r="L57">
        <v>12</v>
      </c>
    </row>
    <row r="58" spans="1:12" x14ac:dyDescent="0.2">
      <c r="A58" s="7">
        <v>45860</v>
      </c>
      <c r="B58" t="s">
        <v>267</v>
      </c>
      <c r="C58" t="s">
        <v>298</v>
      </c>
      <c r="D58" t="s">
        <v>16</v>
      </c>
      <c r="E58" t="s">
        <v>142</v>
      </c>
      <c r="F58">
        <v>130</v>
      </c>
      <c r="G58">
        <v>2015</v>
      </c>
      <c r="H58">
        <v>3.5</v>
      </c>
      <c r="I58">
        <v>3.9</v>
      </c>
      <c r="J58">
        <v>0</v>
      </c>
    </row>
    <row r="59" spans="1:12" x14ac:dyDescent="0.2">
      <c r="A59" s="7">
        <v>45900</v>
      </c>
      <c r="B59" t="s">
        <v>271</v>
      </c>
      <c r="C59" t="s">
        <v>184</v>
      </c>
      <c r="D59" t="s">
        <v>16</v>
      </c>
      <c r="E59" t="s">
        <v>314</v>
      </c>
      <c r="F59">
        <v>121</v>
      </c>
      <c r="G59">
        <v>1976</v>
      </c>
      <c r="H59">
        <v>3.5</v>
      </c>
      <c r="I59">
        <v>4.3</v>
      </c>
      <c r="J59">
        <v>0</v>
      </c>
    </row>
    <row r="60" spans="1:12" x14ac:dyDescent="0.2">
      <c r="A60" s="7">
        <v>45916</v>
      </c>
      <c r="B60" t="s">
        <v>281</v>
      </c>
      <c r="C60" t="s">
        <v>305</v>
      </c>
      <c r="D60" t="s">
        <v>144</v>
      </c>
      <c r="E60" t="s">
        <v>129</v>
      </c>
      <c r="F60">
        <v>105</v>
      </c>
      <c r="G60">
        <v>2022</v>
      </c>
      <c r="H60">
        <v>3.5</v>
      </c>
      <c r="I60">
        <v>3.4</v>
      </c>
      <c r="J60">
        <v>0</v>
      </c>
    </row>
    <row r="61" spans="1:12" x14ac:dyDescent="0.2">
      <c r="A61" s="7">
        <v>46025</v>
      </c>
      <c r="B61" t="s">
        <v>295</v>
      </c>
      <c r="C61" t="s">
        <v>311</v>
      </c>
      <c r="D61" t="s">
        <v>208</v>
      </c>
      <c r="E61" t="s">
        <v>322</v>
      </c>
      <c r="F61">
        <v>125</v>
      </c>
      <c r="G61">
        <v>2025</v>
      </c>
      <c r="H61">
        <v>3.5</v>
      </c>
      <c r="I61">
        <v>3.1</v>
      </c>
      <c r="J61">
        <v>0</v>
      </c>
    </row>
    <row r="62" spans="1:12" x14ac:dyDescent="0.2">
      <c r="A62" s="7">
        <v>46032</v>
      </c>
      <c r="B62" t="s">
        <v>296</v>
      </c>
      <c r="C62" t="s">
        <v>323</v>
      </c>
      <c r="D62" t="s">
        <v>124</v>
      </c>
      <c r="E62" t="s">
        <v>201</v>
      </c>
      <c r="F62">
        <v>131</v>
      </c>
      <c r="G62">
        <v>2025</v>
      </c>
      <c r="H62">
        <v>3.5</v>
      </c>
      <c r="I62">
        <v>3</v>
      </c>
      <c r="J62">
        <v>0</v>
      </c>
    </row>
    <row r="63" spans="1:12" x14ac:dyDescent="0.2">
      <c r="A63" s="1">
        <v>44710</v>
      </c>
      <c r="B63" t="s">
        <v>10</v>
      </c>
      <c r="C63" t="s">
        <v>17</v>
      </c>
      <c r="D63" t="s">
        <v>102</v>
      </c>
      <c r="E63" t="s">
        <v>103</v>
      </c>
      <c r="F63">
        <v>163</v>
      </c>
      <c r="G63">
        <v>2017</v>
      </c>
      <c r="H63">
        <v>4</v>
      </c>
      <c r="I63">
        <v>4.0999999999999996</v>
      </c>
      <c r="J63">
        <v>0</v>
      </c>
      <c r="K63">
        <v>265</v>
      </c>
      <c r="L63">
        <v>44</v>
      </c>
    </row>
    <row r="64" spans="1:12" x14ac:dyDescent="0.2">
      <c r="A64" s="1">
        <v>44850</v>
      </c>
      <c r="B64" t="s">
        <v>25</v>
      </c>
      <c r="C64" t="s">
        <v>115</v>
      </c>
      <c r="D64" t="s">
        <v>16</v>
      </c>
      <c r="E64" t="s">
        <v>116</v>
      </c>
      <c r="F64">
        <v>112</v>
      </c>
      <c r="G64">
        <v>2010</v>
      </c>
      <c r="H64">
        <v>4</v>
      </c>
      <c r="I64">
        <v>3.8</v>
      </c>
      <c r="J64">
        <v>0</v>
      </c>
      <c r="K64">
        <v>112</v>
      </c>
      <c r="L64">
        <v>24</v>
      </c>
    </row>
    <row r="65" spans="1:12" x14ac:dyDescent="0.2">
      <c r="A65" s="1">
        <v>45024</v>
      </c>
      <c r="B65" t="s">
        <v>27</v>
      </c>
      <c r="C65" t="s">
        <v>121</v>
      </c>
      <c r="D65" t="s">
        <v>110</v>
      </c>
      <c r="E65" t="s">
        <v>122</v>
      </c>
      <c r="F65">
        <v>109</v>
      </c>
      <c r="G65">
        <v>2006</v>
      </c>
      <c r="H65">
        <v>4</v>
      </c>
      <c r="I65">
        <v>3.8</v>
      </c>
      <c r="J65">
        <v>0</v>
      </c>
      <c r="K65">
        <v>0</v>
      </c>
      <c r="L65">
        <v>0</v>
      </c>
    </row>
    <row r="66" spans="1:12" x14ac:dyDescent="0.2">
      <c r="A66" s="1">
        <v>45065</v>
      </c>
      <c r="B66" t="s">
        <v>28</v>
      </c>
      <c r="C66" t="s">
        <v>123</v>
      </c>
      <c r="D66" t="s">
        <v>124</v>
      </c>
      <c r="E66" t="s">
        <v>122</v>
      </c>
      <c r="F66">
        <v>149</v>
      </c>
      <c r="G66">
        <v>2014</v>
      </c>
      <c r="H66">
        <v>4</v>
      </c>
      <c r="I66">
        <v>4.0999999999999996</v>
      </c>
      <c r="J66">
        <v>0</v>
      </c>
      <c r="K66">
        <v>44</v>
      </c>
      <c r="L66">
        <v>9</v>
      </c>
    </row>
    <row r="67" spans="1:12" x14ac:dyDescent="0.2">
      <c r="A67" s="1">
        <v>45086</v>
      </c>
      <c r="B67" t="s">
        <v>31</v>
      </c>
      <c r="C67" t="s">
        <v>130</v>
      </c>
      <c r="D67" t="s">
        <v>110</v>
      </c>
      <c r="E67" t="s">
        <v>131</v>
      </c>
      <c r="F67">
        <v>96</v>
      </c>
      <c r="G67">
        <v>2001</v>
      </c>
      <c r="H67">
        <v>4</v>
      </c>
      <c r="I67">
        <v>3.8</v>
      </c>
      <c r="J67">
        <v>0</v>
      </c>
      <c r="K67">
        <v>76</v>
      </c>
      <c r="L67">
        <v>14</v>
      </c>
    </row>
    <row r="68" spans="1:12" x14ac:dyDescent="0.2">
      <c r="A68" s="1">
        <v>45092</v>
      </c>
      <c r="B68" t="s">
        <v>137</v>
      </c>
      <c r="C68" t="s">
        <v>138</v>
      </c>
      <c r="D68" t="s">
        <v>22</v>
      </c>
      <c r="E68" t="s">
        <v>114</v>
      </c>
      <c r="F68">
        <v>123</v>
      </c>
      <c r="G68">
        <v>2013</v>
      </c>
      <c r="H68">
        <v>4</v>
      </c>
      <c r="I68">
        <v>4</v>
      </c>
      <c r="J68">
        <v>1</v>
      </c>
      <c r="K68">
        <v>114</v>
      </c>
      <c r="L68">
        <v>21</v>
      </c>
    </row>
    <row r="69" spans="1:12" x14ac:dyDescent="0.2">
      <c r="A69" s="1">
        <v>45108</v>
      </c>
      <c r="B69" t="s">
        <v>42</v>
      </c>
      <c r="C69" t="s">
        <v>149</v>
      </c>
      <c r="D69" t="s">
        <v>126</v>
      </c>
      <c r="E69" t="s">
        <v>150</v>
      </c>
      <c r="F69">
        <v>97</v>
      </c>
      <c r="G69">
        <v>2009</v>
      </c>
      <c r="H69">
        <v>4</v>
      </c>
      <c r="I69">
        <v>3.9</v>
      </c>
      <c r="J69">
        <v>0</v>
      </c>
      <c r="K69">
        <v>358</v>
      </c>
      <c r="L69">
        <v>68</v>
      </c>
    </row>
    <row r="70" spans="1:12" x14ac:dyDescent="0.2">
      <c r="A70" s="1">
        <v>45108</v>
      </c>
      <c r="B70" t="s">
        <v>41</v>
      </c>
      <c r="C70" t="s">
        <v>148</v>
      </c>
      <c r="D70" t="s">
        <v>126</v>
      </c>
      <c r="E70" t="s">
        <v>111</v>
      </c>
      <c r="F70">
        <v>77</v>
      </c>
      <c r="G70">
        <v>2005</v>
      </c>
      <c r="H70">
        <v>4</v>
      </c>
      <c r="I70">
        <v>3.9</v>
      </c>
      <c r="J70">
        <v>0</v>
      </c>
      <c r="K70">
        <v>295</v>
      </c>
      <c r="L70">
        <v>55</v>
      </c>
    </row>
    <row r="71" spans="1:12" x14ac:dyDescent="0.2">
      <c r="A71" s="1">
        <v>45128</v>
      </c>
      <c r="B71" t="s">
        <v>48</v>
      </c>
      <c r="C71" t="s">
        <v>158</v>
      </c>
      <c r="D71" t="s">
        <v>102</v>
      </c>
      <c r="E71" t="s">
        <v>111</v>
      </c>
      <c r="F71">
        <v>101</v>
      </c>
      <c r="G71">
        <v>2007</v>
      </c>
      <c r="H71">
        <v>4</v>
      </c>
      <c r="I71">
        <v>3.4</v>
      </c>
      <c r="J71">
        <v>1</v>
      </c>
      <c r="K71">
        <v>166</v>
      </c>
      <c r="L71">
        <v>33</v>
      </c>
    </row>
    <row r="72" spans="1:12" x14ac:dyDescent="0.2">
      <c r="A72" s="1">
        <v>45128</v>
      </c>
      <c r="B72" t="s">
        <v>49</v>
      </c>
      <c r="C72" t="s">
        <v>159</v>
      </c>
      <c r="D72" t="s">
        <v>112</v>
      </c>
      <c r="E72" t="s">
        <v>160</v>
      </c>
      <c r="F72">
        <v>100</v>
      </c>
      <c r="G72">
        <v>2011</v>
      </c>
      <c r="H72">
        <v>4</v>
      </c>
      <c r="I72">
        <v>3.9</v>
      </c>
      <c r="J72">
        <v>0</v>
      </c>
      <c r="K72">
        <v>135</v>
      </c>
      <c r="L72">
        <v>23</v>
      </c>
    </row>
    <row r="73" spans="1:12" x14ac:dyDescent="0.2">
      <c r="A73" s="1">
        <v>45201</v>
      </c>
      <c r="B73" t="s">
        <v>54</v>
      </c>
      <c r="C73" t="s">
        <v>167</v>
      </c>
      <c r="D73" t="s">
        <v>124</v>
      </c>
      <c r="E73" t="s">
        <v>133</v>
      </c>
      <c r="F73">
        <v>108</v>
      </c>
      <c r="G73">
        <v>2010</v>
      </c>
      <c r="H73">
        <v>4</v>
      </c>
      <c r="I73">
        <v>4.2</v>
      </c>
      <c r="J73">
        <v>0</v>
      </c>
      <c r="K73">
        <v>45</v>
      </c>
      <c r="L73">
        <v>8</v>
      </c>
    </row>
    <row r="74" spans="1:12" x14ac:dyDescent="0.2">
      <c r="A74" s="1">
        <v>45327</v>
      </c>
      <c r="B74" t="s">
        <v>56</v>
      </c>
      <c r="C74" t="s">
        <v>169</v>
      </c>
      <c r="D74" t="s">
        <v>110</v>
      </c>
      <c r="E74" t="s">
        <v>114</v>
      </c>
      <c r="F74">
        <v>106</v>
      </c>
      <c r="G74">
        <v>2012</v>
      </c>
      <c r="H74">
        <v>4</v>
      </c>
      <c r="I74">
        <v>3</v>
      </c>
      <c r="J74">
        <v>1</v>
      </c>
      <c r="K74">
        <v>32</v>
      </c>
      <c r="L74">
        <v>6</v>
      </c>
    </row>
    <row r="75" spans="1:12" x14ac:dyDescent="0.2">
      <c r="A75" s="1">
        <v>45463</v>
      </c>
      <c r="B75" t="s">
        <v>176</v>
      </c>
      <c r="C75" t="s">
        <v>177</v>
      </c>
      <c r="D75" t="s">
        <v>126</v>
      </c>
      <c r="E75" t="s">
        <v>175</v>
      </c>
      <c r="F75">
        <v>96</v>
      </c>
      <c r="G75">
        <v>2024</v>
      </c>
      <c r="H75">
        <v>4</v>
      </c>
      <c r="I75">
        <v>3.6</v>
      </c>
      <c r="J75">
        <v>0</v>
      </c>
      <c r="K75">
        <v>0</v>
      </c>
      <c r="L75">
        <v>0</v>
      </c>
    </row>
    <row r="76" spans="1:12" x14ac:dyDescent="0.2">
      <c r="A76" s="1">
        <v>45563</v>
      </c>
      <c r="B76" t="s">
        <v>73</v>
      </c>
      <c r="C76" t="s">
        <v>192</v>
      </c>
      <c r="D76" t="s">
        <v>126</v>
      </c>
      <c r="E76" t="s">
        <v>162</v>
      </c>
      <c r="F76">
        <v>101</v>
      </c>
      <c r="G76">
        <v>2024</v>
      </c>
      <c r="H76">
        <v>4</v>
      </c>
      <c r="I76">
        <v>4.2</v>
      </c>
      <c r="J76">
        <v>0</v>
      </c>
      <c r="K76">
        <v>79</v>
      </c>
      <c r="L76">
        <v>10</v>
      </c>
    </row>
    <row r="77" spans="1:12" x14ac:dyDescent="0.2">
      <c r="A77" s="1">
        <v>45638</v>
      </c>
      <c r="B77" t="s">
        <v>77</v>
      </c>
      <c r="C77" t="s">
        <v>197</v>
      </c>
      <c r="D77" t="s">
        <v>126</v>
      </c>
      <c r="E77" t="s">
        <v>162</v>
      </c>
      <c r="F77">
        <v>92</v>
      </c>
      <c r="G77">
        <v>2008</v>
      </c>
      <c r="H77">
        <v>4</v>
      </c>
      <c r="I77">
        <v>3.9</v>
      </c>
      <c r="J77">
        <v>0</v>
      </c>
      <c r="K77">
        <v>273</v>
      </c>
      <c r="L77">
        <v>50</v>
      </c>
    </row>
    <row r="78" spans="1:12" x14ac:dyDescent="0.2">
      <c r="A78" s="1">
        <v>45666</v>
      </c>
      <c r="B78" t="s">
        <v>82</v>
      </c>
      <c r="C78" t="s">
        <v>202</v>
      </c>
      <c r="D78" t="s">
        <v>22</v>
      </c>
      <c r="E78" t="s">
        <v>142</v>
      </c>
      <c r="F78">
        <v>116</v>
      </c>
      <c r="G78">
        <v>2003</v>
      </c>
      <c r="H78">
        <v>4</v>
      </c>
      <c r="I78">
        <v>3.7</v>
      </c>
      <c r="J78">
        <v>1</v>
      </c>
      <c r="K78">
        <v>188</v>
      </c>
      <c r="L78">
        <v>35</v>
      </c>
    </row>
    <row r="79" spans="1:12" x14ac:dyDescent="0.2">
      <c r="A79" s="1">
        <v>45667</v>
      </c>
      <c r="B79" t="s">
        <v>84</v>
      </c>
      <c r="C79" t="s">
        <v>203</v>
      </c>
      <c r="D79" t="s">
        <v>102</v>
      </c>
      <c r="E79" t="s">
        <v>114</v>
      </c>
      <c r="F79">
        <v>108</v>
      </c>
      <c r="G79">
        <v>1989</v>
      </c>
      <c r="H79">
        <v>4</v>
      </c>
      <c r="I79">
        <v>3.9</v>
      </c>
      <c r="J79">
        <v>1</v>
      </c>
      <c r="K79">
        <v>1006</v>
      </c>
      <c r="L79">
        <v>186</v>
      </c>
    </row>
    <row r="80" spans="1:12" x14ac:dyDescent="0.2">
      <c r="A80" s="1">
        <v>45687</v>
      </c>
      <c r="B80" t="s">
        <v>88</v>
      </c>
      <c r="C80" t="s">
        <v>209</v>
      </c>
      <c r="D80" t="s">
        <v>16</v>
      </c>
      <c r="E80" t="s">
        <v>104</v>
      </c>
      <c r="F80">
        <v>133</v>
      </c>
      <c r="G80">
        <v>2011</v>
      </c>
      <c r="H80">
        <v>4</v>
      </c>
      <c r="I80">
        <v>3.9</v>
      </c>
      <c r="J80">
        <v>0</v>
      </c>
      <c r="K80">
        <v>336</v>
      </c>
      <c r="L80">
        <v>59</v>
      </c>
    </row>
    <row r="81" spans="1:12" x14ac:dyDescent="0.2">
      <c r="A81" s="1">
        <v>45691</v>
      </c>
      <c r="B81" t="s">
        <v>89</v>
      </c>
      <c r="C81" t="s">
        <v>158</v>
      </c>
      <c r="D81" t="s">
        <v>102</v>
      </c>
      <c r="E81" t="s">
        <v>201</v>
      </c>
      <c r="F81">
        <v>158</v>
      </c>
      <c r="G81">
        <v>2023</v>
      </c>
      <c r="H81">
        <v>4</v>
      </c>
      <c r="I81">
        <v>3.6</v>
      </c>
      <c r="J81">
        <v>0</v>
      </c>
      <c r="K81">
        <v>550</v>
      </c>
      <c r="L81">
        <v>98</v>
      </c>
    </row>
    <row r="82" spans="1:12" x14ac:dyDescent="0.2">
      <c r="A82" s="1">
        <v>45698</v>
      </c>
      <c r="B82" t="s">
        <v>90</v>
      </c>
      <c r="C82" t="s">
        <v>210</v>
      </c>
      <c r="D82" t="s">
        <v>144</v>
      </c>
      <c r="E82" t="s">
        <v>114</v>
      </c>
      <c r="F82">
        <v>93</v>
      </c>
      <c r="G82">
        <v>2014</v>
      </c>
      <c r="H82">
        <v>4</v>
      </c>
      <c r="I82">
        <v>3.2</v>
      </c>
      <c r="J82">
        <v>1</v>
      </c>
      <c r="K82">
        <v>356</v>
      </c>
      <c r="L82">
        <v>60</v>
      </c>
    </row>
    <row r="83" spans="1:12" x14ac:dyDescent="0.2">
      <c r="A83" s="1">
        <v>45830</v>
      </c>
      <c r="B83" t="s">
        <v>98</v>
      </c>
      <c r="C83" t="s">
        <v>218</v>
      </c>
      <c r="D83" t="s">
        <v>208</v>
      </c>
      <c r="E83" t="s">
        <v>111</v>
      </c>
      <c r="F83">
        <v>142</v>
      </c>
      <c r="G83">
        <v>2004</v>
      </c>
      <c r="H83">
        <v>4</v>
      </c>
      <c r="I83">
        <v>4.0999999999999996</v>
      </c>
      <c r="J83">
        <v>0</v>
      </c>
      <c r="K83">
        <v>307</v>
      </c>
      <c r="L83">
        <v>53</v>
      </c>
    </row>
    <row r="84" spans="1:12" x14ac:dyDescent="0.2">
      <c r="A84" s="7">
        <v>45899</v>
      </c>
      <c r="B84" t="s">
        <v>270</v>
      </c>
      <c r="C84" t="s">
        <v>199</v>
      </c>
      <c r="D84" t="s">
        <v>16</v>
      </c>
      <c r="E84" t="s">
        <v>113</v>
      </c>
      <c r="F84">
        <v>159</v>
      </c>
      <c r="G84">
        <v>1999</v>
      </c>
      <c r="H84">
        <v>4</v>
      </c>
      <c r="I84">
        <v>4</v>
      </c>
      <c r="J84">
        <v>0</v>
      </c>
    </row>
    <row r="85" spans="1:12" x14ac:dyDescent="0.2">
      <c r="A85" s="7">
        <v>45906</v>
      </c>
      <c r="B85" t="s">
        <v>273</v>
      </c>
      <c r="C85" t="s">
        <v>301</v>
      </c>
      <c r="D85" t="s">
        <v>144</v>
      </c>
      <c r="E85" t="s">
        <v>315</v>
      </c>
      <c r="F85">
        <v>81</v>
      </c>
      <c r="G85">
        <v>1999</v>
      </c>
      <c r="H85">
        <v>4</v>
      </c>
      <c r="I85">
        <v>3.3</v>
      </c>
      <c r="J85">
        <v>0</v>
      </c>
    </row>
    <row r="86" spans="1:12" ht="16" x14ac:dyDescent="0.2">
      <c r="A86" s="7">
        <v>45913</v>
      </c>
      <c r="B86" s="8" t="s">
        <v>277</v>
      </c>
      <c r="C86" t="s">
        <v>300</v>
      </c>
      <c r="D86" t="s">
        <v>208</v>
      </c>
      <c r="E86" t="s">
        <v>113</v>
      </c>
      <c r="F86">
        <v>146</v>
      </c>
      <c r="G86">
        <v>2010</v>
      </c>
      <c r="H86">
        <v>4</v>
      </c>
      <c r="I86">
        <v>3.7</v>
      </c>
      <c r="J86">
        <v>0</v>
      </c>
    </row>
    <row r="87" spans="1:12" x14ac:dyDescent="0.2">
      <c r="A87" s="7">
        <v>45934</v>
      </c>
      <c r="B87" t="s">
        <v>284</v>
      </c>
      <c r="C87" t="s">
        <v>307</v>
      </c>
      <c r="D87" t="s">
        <v>16</v>
      </c>
      <c r="E87" t="s">
        <v>319</v>
      </c>
      <c r="F87">
        <v>99</v>
      </c>
      <c r="G87">
        <v>1995</v>
      </c>
      <c r="H87">
        <v>4</v>
      </c>
      <c r="I87">
        <v>4.2</v>
      </c>
      <c r="J87">
        <v>0</v>
      </c>
    </row>
    <row r="88" spans="1:12" x14ac:dyDescent="0.2">
      <c r="A88" s="7">
        <v>45937</v>
      </c>
      <c r="B88" t="s">
        <v>289</v>
      </c>
      <c r="C88" t="s">
        <v>132</v>
      </c>
      <c r="D88" t="s">
        <v>126</v>
      </c>
      <c r="E88" t="s">
        <v>133</v>
      </c>
      <c r="F88">
        <v>101</v>
      </c>
      <c r="G88">
        <v>2018</v>
      </c>
      <c r="H88">
        <v>4</v>
      </c>
      <c r="I88">
        <v>4.0999999999999996</v>
      </c>
      <c r="J88">
        <v>0</v>
      </c>
    </row>
    <row r="89" spans="1:12" x14ac:dyDescent="0.2">
      <c r="A89" s="7">
        <v>45943</v>
      </c>
      <c r="B89" t="s">
        <v>291</v>
      </c>
      <c r="C89" t="s">
        <v>132</v>
      </c>
      <c r="D89" t="s">
        <v>126</v>
      </c>
      <c r="E89" t="s">
        <v>133</v>
      </c>
      <c r="F89">
        <v>87</v>
      </c>
      <c r="G89">
        <v>2009</v>
      </c>
      <c r="H89">
        <v>4</v>
      </c>
      <c r="I89">
        <v>4.3</v>
      </c>
      <c r="J89">
        <v>0</v>
      </c>
    </row>
    <row r="90" spans="1:12" x14ac:dyDescent="0.2">
      <c r="A90" s="1">
        <v>44801</v>
      </c>
      <c r="B90" t="s">
        <v>23</v>
      </c>
      <c r="C90" t="s">
        <v>18</v>
      </c>
      <c r="D90" t="s">
        <v>112</v>
      </c>
      <c r="E90" t="s">
        <v>114</v>
      </c>
      <c r="F90">
        <v>178</v>
      </c>
      <c r="G90">
        <v>1995</v>
      </c>
      <c r="H90">
        <v>4.5</v>
      </c>
      <c r="I90">
        <v>4.2</v>
      </c>
      <c r="J90">
        <v>0</v>
      </c>
      <c r="K90">
        <v>309</v>
      </c>
      <c r="L90">
        <v>55</v>
      </c>
    </row>
    <row r="91" spans="1:12" x14ac:dyDescent="0.2">
      <c r="A91" s="1">
        <v>45079</v>
      </c>
      <c r="B91" t="s">
        <v>29</v>
      </c>
      <c r="C91" t="s">
        <v>125</v>
      </c>
      <c r="D91" t="s">
        <v>126</v>
      </c>
      <c r="E91" t="s">
        <v>127</v>
      </c>
      <c r="F91">
        <v>140</v>
      </c>
      <c r="G91">
        <v>2023</v>
      </c>
      <c r="H91">
        <v>4.5</v>
      </c>
      <c r="I91">
        <v>4.4000000000000004</v>
      </c>
      <c r="J91">
        <v>0</v>
      </c>
      <c r="K91">
        <v>25</v>
      </c>
      <c r="L91">
        <v>4</v>
      </c>
    </row>
    <row r="92" spans="1:12" x14ac:dyDescent="0.2">
      <c r="A92" s="1">
        <v>45104</v>
      </c>
      <c r="B92" t="s">
        <v>13</v>
      </c>
      <c r="C92" t="s">
        <v>20</v>
      </c>
      <c r="D92" t="s">
        <v>107</v>
      </c>
      <c r="E92" t="s">
        <v>219</v>
      </c>
      <c r="F92">
        <v>102</v>
      </c>
      <c r="G92">
        <v>2000</v>
      </c>
      <c r="H92">
        <v>4.5</v>
      </c>
      <c r="I92">
        <v>3.8</v>
      </c>
      <c r="J92">
        <v>1</v>
      </c>
      <c r="K92">
        <v>206</v>
      </c>
      <c r="L92">
        <v>40</v>
      </c>
    </row>
    <row r="93" spans="1:12" x14ac:dyDescent="0.2">
      <c r="A93" s="1">
        <v>45106</v>
      </c>
      <c r="B93" t="s">
        <v>40</v>
      </c>
      <c r="C93" t="s">
        <v>123</v>
      </c>
      <c r="D93" t="s">
        <v>141</v>
      </c>
      <c r="E93" t="s">
        <v>104</v>
      </c>
      <c r="F93">
        <v>120</v>
      </c>
      <c r="G93">
        <v>2010</v>
      </c>
      <c r="H93">
        <v>4.5</v>
      </c>
      <c r="I93">
        <v>3.9</v>
      </c>
      <c r="J93">
        <v>1</v>
      </c>
      <c r="K93">
        <v>94</v>
      </c>
      <c r="L93">
        <v>16</v>
      </c>
    </row>
    <row r="94" spans="1:12" x14ac:dyDescent="0.2">
      <c r="A94" s="1">
        <v>45107</v>
      </c>
      <c r="B94" t="s">
        <v>146</v>
      </c>
      <c r="C94" t="s">
        <v>147</v>
      </c>
      <c r="D94" t="s">
        <v>126</v>
      </c>
      <c r="E94" t="s">
        <v>111</v>
      </c>
      <c r="F94">
        <v>104</v>
      </c>
      <c r="G94">
        <v>2017</v>
      </c>
      <c r="H94">
        <v>4.5</v>
      </c>
      <c r="I94">
        <v>3.9</v>
      </c>
      <c r="J94">
        <v>1</v>
      </c>
      <c r="K94">
        <v>339</v>
      </c>
      <c r="L94">
        <v>59</v>
      </c>
    </row>
    <row r="95" spans="1:12" x14ac:dyDescent="0.2">
      <c r="A95" s="1">
        <v>45136</v>
      </c>
      <c r="B95" t="s">
        <v>51</v>
      </c>
      <c r="C95" t="s">
        <v>163</v>
      </c>
      <c r="D95" t="s">
        <v>110</v>
      </c>
      <c r="E95" t="s">
        <v>111</v>
      </c>
      <c r="F95">
        <v>114</v>
      </c>
      <c r="G95">
        <v>2023</v>
      </c>
      <c r="H95">
        <v>4.5</v>
      </c>
      <c r="I95">
        <v>3.8</v>
      </c>
      <c r="J95">
        <v>0</v>
      </c>
      <c r="K95">
        <v>210</v>
      </c>
      <c r="L95">
        <v>38</v>
      </c>
    </row>
    <row r="96" spans="1:12" x14ac:dyDescent="0.2">
      <c r="A96" s="1">
        <v>45548</v>
      </c>
      <c r="B96" t="s">
        <v>70</v>
      </c>
      <c r="C96" t="s">
        <v>186</v>
      </c>
      <c r="D96" t="s">
        <v>139</v>
      </c>
      <c r="E96" t="s">
        <v>187</v>
      </c>
      <c r="F96">
        <v>123</v>
      </c>
      <c r="G96">
        <v>2004</v>
      </c>
      <c r="H96">
        <v>4.5</v>
      </c>
      <c r="I96">
        <v>3.8</v>
      </c>
      <c r="J96">
        <v>1</v>
      </c>
      <c r="K96">
        <v>96</v>
      </c>
      <c r="L96">
        <v>19</v>
      </c>
    </row>
    <row r="97" spans="1:12" x14ac:dyDescent="0.2">
      <c r="A97" s="1">
        <v>45597</v>
      </c>
      <c r="B97" t="s">
        <v>75</v>
      </c>
      <c r="C97" t="s">
        <v>194</v>
      </c>
      <c r="D97" t="s">
        <v>124</v>
      </c>
      <c r="E97" t="s">
        <v>195</v>
      </c>
      <c r="F97">
        <v>118</v>
      </c>
      <c r="G97">
        <v>1991</v>
      </c>
      <c r="H97">
        <v>4.5</v>
      </c>
      <c r="I97">
        <v>4.3</v>
      </c>
      <c r="J97">
        <v>0</v>
      </c>
      <c r="K97">
        <v>247</v>
      </c>
      <c r="L97">
        <v>46</v>
      </c>
    </row>
    <row r="98" spans="1:12" x14ac:dyDescent="0.2">
      <c r="A98" s="1">
        <v>45646</v>
      </c>
      <c r="B98" t="s">
        <v>198</v>
      </c>
      <c r="C98" t="s">
        <v>199</v>
      </c>
      <c r="D98" t="s">
        <v>102</v>
      </c>
      <c r="E98" t="s">
        <v>131</v>
      </c>
      <c r="F98">
        <v>149</v>
      </c>
      <c r="G98">
        <v>1968</v>
      </c>
      <c r="H98">
        <v>4.5</v>
      </c>
      <c r="I98">
        <v>4.3</v>
      </c>
      <c r="J98">
        <v>0</v>
      </c>
      <c r="K98">
        <v>784</v>
      </c>
      <c r="L98">
        <v>138</v>
      </c>
    </row>
    <row r="99" spans="1:12" x14ac:dyDescent="0.2">
      <c r="A99" s="7">
        <v>45913</v>
      </c>
      <c r="B99" t="s">
        <v>278</v>
      </c>
      <c r="C99" t="s">
        <v>300</v>
      </c>
      <c r="D99" t="s">
        <v>208</v>
      </c>
      <c r="E99" t="s">
        <v>113</v>
      </c>
      <c r="F99">
        <v>130</v>
      </c>
      <c r="G99">
        <v>2011</v>
      </c>
      <c r="H99">
        <v>4.5</v>
      </c>
      <c r="I99">
        <v>4</v>
      </c>
      <c r="J99">
        <v>0</v>
      </c>
    </row>
    <row r="100" spans="1:12" x14ac:dyDescent="0.2">
      <c r="A100" s="7">
        <v>45934</v>
      </c>
      <c r="B100" t="s">
        <v>285</v>
      </c>
      <c r="C100" t="s">
        <v>307</v>
      </c>
      <c r="D100" t="s">
        <v>16</v>
      </c>
      <c r="E100" t="s">
        <v>319</v>
      </c>
      <c r="F100">
        <v>102</v>
      </c>
      <c r="G100">
        <v>1994</v>
      </c>
      <c r="H100">
        <v>4.5</v>
      </c>
      <c r="I100">
        <v>4.3</v>
      </c>
      <c r="J100">
        <v>0</v>
      </c>
    </row>
    <row r="101" spans="1:12" x14ac:dyDescent="0.2">
      <c r="A101" s="7">
        <v>45941</v>
      </c>
      <c r="B101" t="s">
        <v>290</v>
      </c>
      <c r="C101" t="s">
        <v>304</v>
      </c>
      <c r="D101" t="s">
        <v>173</v>
      </c>
      <c r="E101" t="s">
        <v>111</v>
      </c>
      <c r="F101">
        <v>162</v>
      </c>
      <c r="G101">
        <v>2025</v>
      </c>
      <c r="H101">
        <v>4.5</v>
      </c>
      <c r="I101">
        <v>4.2</v>
      </c>
      <c r="J101">
        <v>0</v>
      </c>
    </row>
    <row r="102" spans="1:12" x14ac:dyDescent="0.2">
      <c r="A102" s="7">
        <v>46038</v>
      </c>
      <c r="B102" t="s">
        <v>297</v>
      </c>
      <c r="C102" t="s">
        <v>310</v>
      </c>
      <c r="D102" t="s">
        <v>16</v>
      </c>
      <c r="E102" t="s">
        <v>320</v>
      </c>
      <c r="F102">
        <v>154</v>
      </c>
      <c r="G102">
        <v>2000</v>
      </c>
      <c r="H102">
        <v>4.5</v>
      </c>
      <c r="I102">
        <v>4.2</v>
      </c>
      <c r="J102">
        <v>0</v>
      </c>
    </row>
    <row r="103" spans="1:12" x14ac:dyDescent="0.2">
      <c r="A103" s="1">
        <v>44712</v>
      </c>
      <c r="B103" t="s">
        <v>11</v>
      </c>
      <c r="C103" t="s">
        <v>18</v>
      </c>
      <c r="D103" t="s">
        <v>16</v>
      </c>
      <c r="E103" t="s">
        <v>104</v>
      </c>
      <c r="F103">
        <v>114</v>
      </c>
      <c r="G103">
        <v>1976</v>
      </c>
      <c r="H103">
        <v>5</v>
      </c>
      <c r="I103">
        <v>4.0999999999999996</v>
      </c>
      <c r="J103">
        <v>1</v>
      </c>
      <c r="K103">
        <v>298</v>
      </c>
      <c r="L103">
        <v>54</v>
      </c>
    </row>
    <row r="104" spans="1:12" x14ac:dyDescent="0.2">
      <c r="A104" s="1">
        <v>44728</v>
      </c>
      <c r="B104" t="s">
        <v>14</v>
      </c>
      <c r="C104" t="s">
        <v>21</v>
      </c>
      <c r="D104" t="s">
        <v>16</v>
      </c>
      <c r="E104" t="s">
        <v>108</v>
      </c>
      <c r="F104">
        <v>107</v>
      </c>
      <c r="G104">
        <v>2014</v>
      </c>
      <c r="H104">
        <v>5</v>
      </c>
      <c r="I104">
        <v>4.4000000000000004</v>
      </c>
      <c r="J104">
        <v>1</v>
      </c>
      <c r="K104">
        <v>260</v>
      </c>
      <c r="L104">
        <v>46</v>
      </c>
    </row>
    <row r="105" spans="1:12" x14ac:dyDescent="0.2">
      <c r="A105" s="1">
        <v>44780</v>
      </c>
      <c r="B105" t="s">
        <v>24</v>
      </c>
      <c r="C105" t="s">
        <v>18</v>
      </c>
      <c r="D105" t="s">
        <v>112</v>
      </c>
      <c r="E105" t="s">
        <v>113</v>
      </c>
      <c r="F105">
        <v>146</v>
      </c>
      <c r="G105">
        <v>1990</v>
      </c>
      <c r="H105">
        <v>5</v>
      </c>
      <c r="I105">
        <v>4.5</v>
      </c>
      <c r="J105">
        <v>0</v>
      </c>
      <c r="K105">
        <v>134</v>
      </c>
      <c r="L105">
        <v>27</v>
      </c>
    </row>
    <row r="106" spans="1:12" x14ac:dyDescent="0.2">
      <c r="A106" s="1">
        <v>45004</v>
      </c>
      <c r="B106" t="s">
        <v>26</v>
      </c>
      <c r="C106" t="s">
        <v>117</v>
      </c>
      <c r="D106" t="s">
        <v>118</v>
      </c>
      <c r="E106" t="s">
        <v>104</v>
      </c>
      <c r="F106">
        <v>165</v>
      </c>
      <c r="G106">
        <v>2012</v>
      </c>
      <c r="H106">
        <v>5</v>
      </c>
      <c r="I106">
        <v>4.3</v>
      </c>
      <c r="J106">
        <v>0</v>
      </c>
      <c r="K106">
        <v>129</v>
      </c>
      <c r="L106">
        <v>22</v>
      </c>
    </row>
    <row r="107" spans="1:12" x14ac:dyDescent="0.2">
      <c r="A107" s="1">
        <v>45010</v>
      </c>
      <c r="B107" t="s">
        <v>119</v>
      </c>
      <c r="C107" t="s">
        <v>117</v>
      </c>
      <c r="D107" t="s">
        <v>120</v>
      </c>
      <c r="E107" t="s">
        <v>116</v>
      </c>
      <c r="F107">
        <v>153</v>
      </c>
      <c r="G107">
        <v>2009</v>
      </c>
      <c r="H107">
        <v>5</v>
      </c>
      <c r="I107">
        <v>4.4000000000000004</v>
      </c>
      <c r="J107">
        <v>0</v>
      </c>
      <c r="K107">
        <v>195</v>
      </c>
      <c r="L107">
        <v>39</v>
      </c>
    </row>
    <row r="108" spans="1:12" x14ac:dyDescent="0.2">
      <c r="A108" s="1">
        <v>45089</v>
      </c>
      <c r="B108" t="s">
        <v>134</v>
      </c>
      <c r="C108" t="s">
        <v>117</v>
      </c>
      <c r="D108" t="s">
        <v>110</v>
      </c>
      <c r="E108" t="s">
        <v>104</v>
      </c>
      <c r="F108">
        <v>161</v>
      </c>
      <c r="G108">
        <v>2019</v>
      </c>
      <c r="H108">
        <v>5</v>
      </c>
      <c r="I108">
        <v>3.8</v>
      </c>
      <c r="J108">
        <v>0</v>
      </c>
      <c r="K108">
        <v>92</v>
      </c>
      <c r="L108">
        <v>18</v>
      </c>
    </row>
    <row r="109" spans="1:12" x14ac:dyDescent="0.2">
      <c r="A109" s="1">
        <v>45090</v>
      </c>
      <c r="B109" t="s">
        <v>33</v>
      </c>
      <c r="C109" t="s">
        <v>21</v>
      </c>
      <c r="D109" t="s">
        <v>135</v>
      </c>
      <c r="E109" t="s">
        <v>136</v>
      </c>
      <c r="F109">
        <v>128</v>
      </c>
      <c r="G109">
        <v>2016</v>
      </c>
      <c r="H109">
        <v>5</v>
      </c>
      <c r="I109">
        <v>4.0999999999999996</v>
      </c>
      <c r="J109">
        <v>1</v>
      </c>
      <c r="K109">
        <v>335</v>
      </c>
      <c r="L109">
        <v>62</v>
      </c>
    </row>
    <row r="110" spans="1:12" x14ac:dyDescent="0.2">
      <c r="A110" s="1">
        <v>45098</v>
      </c>
      <c r="B110" t="s">
        <v>34</v>
      </c>
      <c r="C110" t="s">
        <v>123</v>
      </c>
      <c r="D110" t="s">
        <v>16</v>
      </c>
      <c r="E110" t="s">
        <v>122</v>
      </c>
      <c r="F110">
        <v>139</v>
      </c>
      <c r="G110">
        <v>1999</v>
      </c>
      <c r="H110">
        <v>5</v>
      </c>
      <c r="I110">
        <v>4.3</v>
      </c>
      <c r="J110">
        <v>0</v>
      </c>
      <c r="K110">
        <v>353</v>
      </c>
      <c r="L110">
        <v>57</v>
      </c>
    </row>
    <row r="111" spans="1:12" x14ac:dyDescent="0.2">
      <c r="A111" s="1">
        <v>45099</v>
      </c>
      <c r="B111" t="s">
        <v>24</v>
      </c>
      <c r="C111" t="s">
        <v>18</v>
      </c>
      <c r="D111" t="s">
        <v>112</v>
      </c>
      <c r="E111" t="s">
        <v>113</v>
      </c>
      <c r="F111">
        <v>146</v>
      </c>
      <c r="G111">
        <v>1990</v>
      </c>
      <c r="H111">
        <v>5</v>
      </c>
      <c r="I111">
        <v>4.5</v>
      </c>
      <c r="J111">
        <v>1</v>
      </c>
      <c r="K111">
        <v>248</v>
      </c>
      <c r="L111">
        <v>45</v>
      </c>
    </row>
    <row r="112" spans="1:12" x14ac:dyDescent="0.2">
      <c r="A112" s="1">
        <v>45102</v>
      </c>
      <c r="B112" t="s">
        <v>36</v>
      </c>
      <c r="C112" t="s">
        <v>18</v>
      </c>
      <c r="D112" t="s">
        <v>141</v>
      </c>
      <c r="E112" t="s">
        <v>142</v>
      </c>
      <c r="F112">
        <v>180</v>
      </c>
      <c r="G112">
        <v>2013</v>
      </c>
      <c r="H112">
        <v>5</v>
      </c>
      <c r="I112">
        <v>4</v>
      </c>
      <c r="J112">
        <v>0</v>
      </c>
      <c r="K112">
        <v>609</v>
      </c>
      <c r="L112">
        <v>110</v>
      </c>
    </row>
    <row r="113" spans="1:12" x14ac:dyDescent="0.2">
      <c r="A113" s="1">
        <v>45104</v>
      </c>
      <c r="B113" t="s">
        <v>39</v>
      </c>
      <c r="C113" t="s">
        <v>18</v>
      </c>
      <c r="D113" t="s">
        <v>141</v>
      </c>
      <c r="E113" t="s">
        <v>101</v>
      </c>
      <c r="F113">
        <v>129</v>
      </c>
      <c r="G113">
        <v>1980</v>
      </c>
      <c r="H113">
        <v>5</v>
      </c>
      <c r="I113">
        <v>4.2</v>
      </c>
      <c r="J113">
        <v>0</v>
      </c>
      <c r="K113">
        <v>953</v>
      </c>
      <c r="L113">
        <v>179</v>
      </c>
    </row>
    <row r="114" spans="1:12" x14ac:dyDescent="0.2">
      <c r="A114" s="1">
        <v>45124</v>
      </c>
      <c r="B114" t="s">
        <v>11</v>
      </c>
      <c r="C114" t="s">
        <v>18</v>
      </c>
      <c r="D114" t="s">
        <v>16</v>
      </c>
      <c r="E114" t="s">
        <v>104</v>
      </c>
      <c r="F114">
        <v>114</v>
      </c>
      <c r="G114">
        <v>1976</v>
      </c>
      <c r="H114">
        <v>5</v>
      </c>
      <c r="I114">
        <v>4.0999999999999996</v>
      </c>
      <c r="J114">
        <v>1</v>
      </c>
      <c r="K114">
        <v>1183</v>
      </c>
      <c r="L114">
        <v>195</v>
      </c>
    </row>
    <row r="115" spans="1:12" x14ac:dyDescent="0.2">
      <c r="A115" s="1">
        <v>45124</v>
      </c>
      <c r="B115" t="s">
        <v>45</v>
      </c>
      <c r="C115" t="s">
        <v>18</v>
      </c>
      <c r="D115" t="s">
        <v>110</v>
      </c>
      <c r="E115" t="s">
        <v>122</v>
      </c>
      <c r="F115">
        <v>109</v>
      </c>
      <c r="G115">
        <v>1982</v>
      </c>
      <c r="H115">
        <v>5</v>
      </c>
      <c r="I115">
        <v>4.2</v>
      </c>
      <c r="J115">
        <v>0</v>
      </c>
      <c r="K115">
        <v>564</v>
      </c>
      <c r="L115">
        <v>104</v>
      </c>
    </row>
    <row r="116" spans="1:12" x14ac:dyDescent="0.2">
      <c r="A116" s="1">
        <v>45165</v>
      </c>
      <c r="B116" t="s">
        <v>52</v>
      </c>
      <c r="C116" t="s">
        <v>164</v>
      </c>
      <c r="D116" t="s">
        <v>141</v>
      </c>
      <c r="E116" t="s">
        <v>165</v>
      </c>
      <c r="F116">
        <v>120</v>
      </c>
      <c r="G116">
        <v>2017</v>
      </c>
      <c r="H116">
        <v>5</v>
      </c>
      <c r="I116">
        <v>3.9</v>
      </c>
      <c r="J116">
        <v>0</v>
      </c>
      <c r="K116">
        <v>216</v>
      </c>
      <c r="L116">
        <v>40</v>
      </c>
    </row>
    <row r="117" spans="1:12" x14ac:dyDescent="0.2">
      <c r="A117" s="1">
        <v>45268</v>
      </c>
      <c r="B117" t="s">
        <v>55</v>
      </c>
      <c r="C117" t="s">
        <v>168</v>
      </c>
      <c r="D117" t="s">
        <v>126</v>
      </c>
      <c r="E117" t="s">
        <v>162</v>
      </c>
      <c r="F117">
        <v>93</v>
      </c>
      <c r="G117">
        <v>2004</v>
      </c>
      <c r="H117">
        <v>5</v>
      </c>
      <c r="I117">
        <v>4.0999999999999996</v>
      </c>
      <c r="J117">
        <v>1</v>
      </c>
      <c r="K117">
        <v>172</v>
      </c>
      <c r="L117">
        <v>33</v>
      </c>
    </row>
    <row r="118" spans="1:12" x14ac:dyDescent="0.2">
      <c r="A118" s="1">
        <v>45436</v>
      </c>
      <c r="B118" t="s">
        <v>61</v>
      </c>
      <c r="C118" t="s">
        <v>18</v>
      </c>
      <c r="D118" t="s">
        <v>124</v>
      </c>
      <c r="E118" t="s">
        <v>142</v>
      </c>
      <c r="F118">
        <v>139</v>
      </c>
      <c r="G118">
        <v>2010</v>
      </c>
      <c r="H118">
        <v>5</v>
      </c>
      <c r="I118">
        <v>4.2</v>
      </c>
      <c r="J118">
        <v>0</v>
      </c>
      <c r="K118">
        <v>130</v>
      </c>
      <c r="L118">
        <v>28</v>
      </c>
    </row>
    <row r="119" spans="1:12" x14ac:dyDescent="0.2">
      <c r="A119" s="1">
        <v>45545</v>
      </c>
      <c r="B119" t="s">
        <v>119</v>
      </c>
      <c r="C119" t="s">
        <v>117</v>
      </c>
      <c r="D119" t="s">
        <v>120</v>
      </c>
      <c r="E119" t="s">
        <v>116</v>
      </c>
      <c r="F119">
        <v>153</v>
      </c>
      <c r="G119">
        <v>2009</v>
      </c>
      <c r="H119">
        <v>5</v>
      </c>
      <c r="I119">
        <v>4.4000000000000004</v>
      </c>
      <c r="J119">
        <v>1</v>
      </c>
      <c r="K119">
        <v>184</v>
      </c>
      <c r="L119">
        <v>34</v>
      </c>
    </row>
    <row r="120" spans="1:12" x14ac:dyDescent="0.2">
      <c r="A120" s="1">
        <v>45546</v>
      </c>
      <c r="B120" t="s">
        <v>67</v>
      </c>
      <c r="C120" t="s">
        <v>184</v>
      </c>
      <c r="D120" t="s">
        <v>16</v>
      </c>
      <c r="E120" t="s">
        <v>101</v>
      </c>
      <c r="F120">
        <v>96</v>
      </c>
      <c r="G120">
        <v>1957</v>
      </c>
      <c r="H120">
        <v>5</v>
      </c>
      <c r="I120">
        <v>4.5999999999999996</v>
      </c>
      <c r="J120">
        <v>0</v>
      </c>
      <c r="K120">
        <v>428</v>
      </c>
      <c r="L120">
        <v>76</v>
      </c>
    </row>
    <row r="121" spans="1:12" x14ac:dyDescent="0.2">
      <c r="A121" s="1">
        <v>45548</v>
      </c>
      <c r="B121" t="s">
        <v>69</v>
      </c>
      <c r="C121" t="s">
        <v>185</v>
      </c>
      <c r="D121" t="s">
        <v>110</v>
      </c>
      <c r="E121" t="s">
        <v>104</v>
      </c>
      <c r="F121">
        <v>113</v>
      </c>
      <c r="G121">
        <v>2007</v>
      </c>
      <c r="H121">
        <v>5</v>
      </c>
      <c r="I121">
        <v>3.9</v>
      </c>
      <c r="J121">
        <v>0</v>
      </c>
      <c r="K121">
        <v>207</v>
      </c>
      <c r="L121">
        <v>35</v>
      </c>
    </row>
    <row r="122" spans="1:12" x14ac:dyDescent="0.2">
      <c r="A122" s="1">
        <v>45639</v>
      </c>
      <c r="B122" t="s">
        <v>55</v>
      </c>
      <c r="C122" t="s">
        <v>168</v>
      </c>
      <c r="D122" t="s">
        <v>126</v>
      </c>
      <c r="E122" t="s">
        <v>162</v>
      </c>
      <c r="F122">
        <v>93</v>
      </c>
      <c r="G122">
        <v>2004</v>
      </c>
      <c r="H122">
        <v>5</v>
      </c>
      <c r="I122">
        <v>4.0999999999999996</v>
      </c>
      <c r="J122">
        <v>1</v>
      </c>
      <c r="K122">
        <v>244</v>
      </c>
      <c r="L122">
        <v>48</v>
      </c>
    </row>
    <row r="123" spans="1:12" x14ac:dyDescent="0.2">
      <c r="A123" s="1">
        <v>45667</v>
      </c>
      <c r="B123" t="s">
        <v>83</v>
      </c>
      <c r="C123" t="s">
        <v>203</v>
      </c>
      <c r="D123" t="s">
        <v>102</v>
      </c>
      <c r="E123" t="s">
        <v>114</v>
      </c>
      <c r="F123">
        <v>116</v>
      </c>
      <c r="G123">
        <v>1985</v>
      </c>
      <c r="H123">
        <v>5</v>
      </c>
      <c r="I123">
        <v>4.2</v>
      </c>
      <c r="J123">
        <v>1</v>
      </c>
      <c r="K123">
        <v>446</v>
      </c>
      <c r="L123">
        <v>80</v>
      </c>
    </row>
    <row r="124" spans="1:12" x14ac:dyDescent="0.2">
      <c r="A124" s="1">
        <v>45668</v>
      </c>
      <c r="B124" t="s">
        <v>86</v>
      </c>
      <c r="C124" t="s">
        <v>204</v>
      </c>
      <c r="D124" t="s">
        <v>118</v>
      </c>
      <c r="E124" t="s">
        <v>101</v>
      </c>
      <c r="F124">
        <v>161</v>
      </c>
      <c r="G124">
        <v>1966</v>
      </c>
      <c r="H124">
        <v>5</v>
      </c>
      <c r="I124">
        <v>4.5</v>
      </c>
      <c r="J124">
        <v>0</v>
      </c>
      <c r="K124">
        <v>1050</v>
      </c>
      <c r="L124">
        <v>204</v>
      </c>
    </row>
    <row r="125" spans="1:12" x14ac:dyDescent="0.2">
      <c r="A125" s="1">
        <v>45668</v>
      </c>
      <c r="B125" t="s">
        <v>85</v>
      </c>
      <c r="C125" t="s">
        <v>203</v>
      </c>
      <c r="D125" t="s">
        <v>102</v>
      </c>
      <c r="E125" t="s">
        <v>114</v>
      </c>
      <c r="F125">
        <v>118</v>
      </c>
      <c r="G125">
        <v>1990</v>
      </c>
      <c r="H125">
        <v>5</v>
      </c>
      <c r="I125">
        <v>3.6</v>
      </c>
      <c r="J125">
        <v>1</v>
      </c>
      <c r="K125">
        <v>1174</v>
      </c>
      <c r="L125">
        <v>220</v>
      </c>
    </row>
    <row r="126" spans="1:12" x14ac:dyDescent="0.2">
      <c r="A126" s="1">
        <v>45704</v>
      </c>
      <c r="B126" t="s">
        <v>91</v>
      </c>
      <c r="C126" t="s">
        <v>211</v>
      </c>
      <c r="D126" t="s">
        <v>135</v>
      </c>
      <c r="E126" t="s">
        <v>114</v>
      </c>
      <c r="F126">
        <v>108</v>
      </c>
      <c r="G126">
        <v>2008</v>
      </c>
      <c r="H126">
        <v>5</v>
      </c>
      <c r="I126">
        <v>3.8</v>
      </c>
      <c r="J126">
        <v>0</v>
      </c>
      <c r="K126">
        <v>249</v>
      </c>
      <c r="L126">
        <v>37</v>
      </c>
    </row>
    <row r="127" spans="1:12" x14ac:dyDescent="0.2">
      <c r="A127" s="7">
        <v>45900</v>
      </c>
      <c r="B127" t="s">
        <v>272</v>
      </c>
      <c r="C127" t="s">
        <v>199</v>
      </c>
      <c r="D127" t="s">
        <v>144</v>
      </c>
      <c r="E127" t="s">
        <v>113</v>
      </c>
      <c r="F127">
        <v>146</v>
      </c>
      <c r="G127">
        <v>1980</v>
      </c>
      <c r="H127">
        <v>5</v>
      </c>
      <c r="I127">
        <v>4.2</v>
      </c>
      <c r="J127">
        <v>0</v>
      </c>
    </row>
    <row r="128" spans="1:12" x14ac:dyDescent="0.2">
      <c r="A128" s="7">
        <v>45934</v>
      </c>
      <c r="B128" t="s">
        <v>286</v>
      </c>
      <c r="C128" t="s">
        <v>199</v>
      </c>
      <c r="D128" t="s">
        <v>317</v>
      </c>
      <c r="E128" t="s">
        <v>113</v>
      </c>
      <c r="F128">
        <v>116</v>
      </c>
      <c r="G128">
        <v>1987</v>
      </c>
      <c r="H128">
        <v>5</v>
      </c>
      <c r="I128">
        <v>4.2</v>
      </c>
      <c r="J128">
        <v>0</v>
      </c>
    </row>
  </sheetData>
  <hyperlinks>
    <hyperlink ref="B61" r:id="rId1" display="https://letterboxd.com/dguzman/film/stranger-things-5-the-finale/" xr:uid="{AA8D8F4E-577F-8E4F-BF89-2D75597E86B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C976-86D6-4A16-A599-538A98F53239}">
  <dimension ref="A3:B16"/>
  <sheetViews>
    <sheetView workbookViewId="0">
      <selection activeCell="C10" sqref="C10"/>
    </sheetView>
  </sheetViews>
  <sheetFormatPr baseColWidth="10" defaultRowHeight="15" x14ac:dyDescent="0.2"/>
  <cols>
    <col min="1" max="1" width="16.5" bestFit="1" customWidth="1"/>
    <col min="2" max="2" width="19.5" bestFit="1" customWidth="1"/>
  </cols>
  <sheetData>
    <row r="3" spans="1:2" x14ac:dyDescent="0.2">
      <c r="A3" s="2" t="s">
        <v>228</v>
      </c>
      <c r="B3" t="s">
        <v>227</v>
      </c>
    </row>
    <row r="4" spans="1:2" x14ac:dyDescent="0.2">
      <c r="A4" s="3" t="s">
        <v>255</v>
      </c>
      <c r="B4">
        <v>9</v>
      </c>
    </row>
    <row r="5" spans="1:2" x14ac:dyDescent="0.2">
      <c r="A5" s="3" t="s">
        <v>256</v>
      </c>
      <c r="B5">
        <v>5</v>
      </c>
    </row>
    <row r="6" spans="1:2" x14ac:dyDescent="0.2">
      <c r="A6" s="3" t="s">
        <v>257</v>
      </c>
      <c r="B6">
        <v>4</v>
      </c>
    </row>
    <row r="7" spans="1:2" x14ac:dyDescent="0.2">
      <c r="A7" s="3" t="s">
        <v>258</v>
      </c>
      <c r="B7">
        <v>6</v>
      </c>
    </row>
    <row r="8" spans="1:2" x14ac:dyDescent="0.2">
      <c r="A8" s="3" t="s">
        <v>259</v>
      </c>
      <c r="B8">
        <v>7</v>
      </c>
    </row>
    <row r="9" spans="1:2" x14ac:dyDescent="0.2">
      <c r="A9" s="3" t="s">
        <v>260</v>
      </c>
      <c r="B9">
        <v>24</v>
      </c>
    </row>
    <row r="10" spans="1:2" x14ac:dyDescent="0.2">
      <c r="A10" s="3" t="s">
        <v>261</v>
      </c>
      <c r="B10">
        <v>13</v>
      </c>
    </row>
    <row r="11" spans="1:2" x14ac:dyDescent="0.2">
      <c r="A11" s="3" t="s">
        <v>262</v>
      </c>
      <c r="B11">
        <v>7</v>
      </c>
    </row>
    <row r="12" spans="1:2" x14ac:dyDescent="0.2">
      <c r="A12" s="3" t="s">
        <v>263</v>
      </c>
      <c r="B12">
        <v>9</v>
      </c>
    </row>
    <row r="13" spans="1:2" x14ac:dyDescent="0.2">
      <c r="A13" s="3" t="s">
        <v>264</v>
      </c>
      <c r="B13">
        <v>3</v>
      </c>
    </row>
    <row r="14" spans="1:2" x14ac:dyDescent="0.2">
      <c r="A14" s="3" t="s">
        <v>265</v>
      </c>
      <c r="B14">
        <v>2</v>
      </c>
    </row>
    <row r="15" spans="1:2" x14ac:dyDescent="0.2">
      <c r="A15" s="3" t="s">
        <v>266</v>
      </c>
      <c r="B15">
        <v>7</v>
      </c>
    </row>
    <row r="16" spans="1:2" x14ac:dyDescent="0.2">
      <c r="A16" s="3" t="s">
        <v>229</v>
      </c>
      <c r="B16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BEED5-A4A3-4CC0-A472-A9EA8198A01F}">
  <dimension ref="B1:L36"/>
  <sheetViews>
    <sheetView topLeftCell="A16" workbookViewId="0">
      <selection activeCell="I31" sqref="I31"/>
    </sheetView>
  </sheetViews>
  <sheetFormatPr baseColWidth="10" defaultRowHeight="15" x14ac:dyDescent="0.2"/>
  <cols>
    <col min="2" max="2" width="16.1640625" bestFit="1" customWidth="1"/>
    <col min="5" max="5" width="16.1640625" bestFit="1" customWidth="1"/>
  </cols>
  <sheetData>
    <row r="1" spans="2:12" ht="16" thickBot="1" x14ac:dyDescent="0.25"/>
    <row r="2" spans="2:12" x14ac:dyDescent="0.2">
      <c r="B2" s="5" t="s">
        <v>4</v>
      </c>
      <c r="C2" s="5"/>
      <c r="E2" s="5" t="s">
        <v>5</v>
      </c>
      <c r="F2" s="5"/>
      <c r="H2" s="5" t="s">
        <v>2</v>
      </c>
      <c r="I2" s="5"/>
      <c r="K2" s="5" t="s">
        <v>8</v>
      </c>
      <c r="L2" s="5"/>
    </row>
    <row r="4" spans="2:12" x14ac:dyDescent="0.2">
      <c r="B4" t="s">
        <v>230</v>
      </c>
      <c r="C4">
        <v>119.02083333333333</v>
      </c>
      <c r="E4" t="s">
        <v>230</v>
      </c>
      <c r="F4">
        <v>2007.5208333333333</v>
      </c>
      <c r="H4" t="s">
        <v>230</v>
      </c>
      <c r="I4">
        <v>3.8958333333333335</v>
      </c>
      <c r="K4" t="s">
        <v>230</v>
      </c>
      <c r="L4">
        <v>3.7416666666666658</v>
      </c>
    </row>
    <row r="5" spans="2:12" x14ac:dyDescent="0.2">
      <c r="B5" t="s">
        <v>231</v>
      </c>
      <c r="C5">
        <v>2.3306679246830062</v>
      </c>
      <c r="E5" t="s">
        <v>231</v>
      </c>
      <c r="F5">
        <v>1.4454237500648253</v>
      </c>
      <c r="H5" t="s">
        <v>231</v>
      </c>
      <c r="I5">
        <v>8.9134688477934737E-2</v>
      </c>
      <c r="K5" t="s">
        <v>231</v>
      </c>
      <c r="L5">
        <v>5.2349757172536787E-2</v>
      </c>
    </row>
    <row r="6" spans="2:12" x14ac:dyDescent="0.2">
      <c r="B6" t="s">
        <v>232</v>
      </c>
      <c r="C6">
        <v>114</v>
      </c>
      <c r="E6" t="s">
        <v>232</v>
      </c>
      <c r="F6">
        <v>2010.5</v>
      </c>
      <c r="H6" t="s">
        <v>232</v>
      </c>
      <c r="I6">
        <v>4</v>
      </c>
      <c r="K6" t="s">
        <v>232</v>
      </c>
      <c r="L6">
        <v>3.8</v>
      </c>
    </row>
    <row r="7" spans="2:12" x14ac:dyDescent="0.2">
      <c r="B7" t="s">
        <v>233</v>
      </c>
      <c r="C7">
        <v>102</v>
      </c>
      <c r="E7" t="s">
        <v>233</v>
      </c>
      <c r="F7">
        <v>2014</v>
      </c>
      <c r="H7" t="s">
        <v>233</v>
      </c>
      <c r="I7">
        <v>5</v>
      </c>
      <c r="K7" t="s">
        <v>233</v>
      </c>
      <c r="L7">
        <v>3.9</v>
      </c>
    </row>
    <row r="8" spans="2:12" x14ac:dyDescent="0.2">
      <c r="B8" t="s">
        <v>234</v>
      </c>
      <c r="C8">
        <v>22.835788701379119</v>
      </c>
      <c r="E8" t="s">
        <v>234</v>
      </c>
      <c r="F8">
        <v>14.162202599035941</v>
      </c>
      <c r="H8" t="s">
        <v>234</v>
      </c>
      <c r="I8">
        <v>0.87333802061150023</v>
      </c>
      <c r="K8" t="s">
        <v>234</v>
      </c>
      <c r="L8">
        <v>0.51292077292527583</v>
      </c>
    </row>
    <row r="9" spans="2:12" x14ac:dyDescent="0.2">
      <c r="B9" t="s">
        <v>235</v>
      </c>
      <c r="C9">
        <v>521.47324561403423</v>
      </c>
      <c r="E9" t="s">
        <v>235</v>
      </c>
      <c r="F9">
        <v>200.56798245614038</v>
      </c>
      <c r="H9" t="s">
        <v>235</v>
      </c>
      <c r="I9">
        <v>0.76271929824561324</v>
      </c>
      <c r="K9" t="s">
        <v>235</v>
      </c>
      <c r="L9">
        <v>0.26308771929826241</v>
      </c>
    </row>
    <row r="10" spans="2:12" x14ac:dyDescent="0.2">
      <c r="B10" t="s">
        <v>236</v>
      </c>
      <c r="C10">
        <v>-0.2470045903191207</v>
      </c>
      <c r="E10" t="s">
        <v>236</v>
      </c>
      <c r="F10">
        <v>1.8984208460743903</v>
      </c>
      <c r="H10" t="s">
        <v>236</v>
      </c>
      <c r="I10">
        <v>-0.3645567488776198</v>
      </c>
      <c r="K10" t="s">
        <v>236</v>
      </c>
      <c r="L10">
        <v>0.4364536181682066</v>
      </c>
    </row>
    <row r="11" spans="2:12" x14ac:dyDescent="0.2">
      <c r="B11" t="s">
        <v>237</v>
      </c>
      <c r="C11">
        <v>0.72607422795825938</v>
      </c>
      <c r="E11" t="s">
        <v>237</v>
      </c>
      <c r="F11">
        <v>-1.3456047479029154</v>
      </c>
      <c r="H11" t="s">
        <v>237</v>
      </c>
      <c r="I11">
        <v>-0.41151273814326911</v>
      </c>
      <c r="K11" t="s">
        <v>237</v>
      </c>
      <c r="L11">
        <v>-0.88485075631689836</v>
      </c>
    </row>
    <row r="12" spans="2:12" x14ac:dyDescent="0.2">
      <c r="B12" t="s">
        <v>238</v>
      </c>
      <c r="C12">
        <v>103</v>
      </c>
      <c r="E12" t="s">
        <v>238</v>
      </c>
      <c r="F12">
        <v>68</v>
      </c>
      <c r="H12" t="s">
        <v>238</v>
      </c>
      <c r="I12">
        <v>3.5</v>
      </c>
      <c r="K12" t="s">
        <v>238</v>
      </c>
      <c r="L12">
        <v>2.2999999999999998</v>
      </c>
    </row>
    <row r="13" spans="2:12" x14ac:dyDescent="0.2">
      <c r="B13" t="s">
        <v>239</v>
      </c>
      <c r="C13">
        <v>77</v>
      </c>
      <c r="E13" t="s">
        <v>239</v>
      </c>
      <c r="F13">
        <v>1957</v>
      </c>
      <c r="H13" t="s">
        <v>239</v>
      </c>
      <c r="I13">
        <v>1.5</v>
      </c>
      <c r="K13" t="s">
        <v>239</v>
      </c>
      <c r="L13">
        <v>2.2999999999999998</v>
      </c>
    </row>
    <row r="14" spans="2:12" x14ac:dyDescent="0.2">
      <c r="B14" t="s">
        <v>240</v>
      </c>
      <c r="C14">
        <v>180</v>
      </c>
      <c r="E14" t="s">
        <v>240</v>
      </c>
      <c r="F14">
        <v>2025</v>
      </c>
      <c r="H14" t="s">
        <v>240</v>
      </c>
      <c r="I14">
        <v>5</v>
      </c>
      <c r="K14" t="s">
        <v>240</v>
      </c>
      <c r="L14">
        <v>4.5999999999999996</v>
      </c>
    </row>
    <row r="15" spans="2:12" x14ac:dyDescent="0.2">
      <c r="B15" t="s">
        <v>241</v>
      </c>
      <c r="C15">
        <v>11426</v>
      </c>
      <c r="E15" t="s">
        <v>241</v>
      </c>
      <c r="F15">
        <v>192722</v>
      </c>
      <c r="H15" t="s">
        <v>241</v>
      </c>
      <c r="I15">
        <v>374</v>
      </c>
      <c r="K15" t="s">
        <v>241</v>
      </c>
      <c r="L15">
        <v>359.19999999999993</v>
      </c>
    </row>
    <row r="16" spans="2:12" ht="16" thickBot="1" x14ac:dyDescent="0.25">
      <c r="B16" s="4" t="s">
        <v>242</v>
      </c>
      <c r="C16" s="4">
        <v>96</v>
      </c>
      <c r="E16" s="4" t="s">
        <v>242</v>
      </c>
      <c r="F16" s="4">
        <v>96</v>
      </c>
      <c r="H16" s="4" t="s">
        <v>242</v>
      </c>
      <c r="I16" s="4">
        <v>96</v>
      </c>
      <c r="K16" s="4" t="s">
        <v>242</v>
      </c>
      <c r="L16" s="4">
        <v>96</v>
      </c>
    </row>
    <row r="17" spans="2:9" x14ac:dyDescent="0.2">
      <c r="B17" t="s">
        <v>251</v>
      </c>
      <c r="C17" t="s">
        <v>41</v>
      </c>
      <c r="E17" t="s">
        <v>250</v>
      </c>
      <c r="F17" t="s">
        <v>67</v>
      </c>
    </row>
    <row r="18" spans="2:9" x14ac:dyDescent="0.2">
      <c r="B18" t="s">
        <v>252</v>
      </c>
      <c r="C18" t="s">
        <v>253</v>
      </c>
    </row>
    <row r="19" spans="2:9" ht="16" thickBot="1" x14ac:dyDescent="0.25"/>
    <row r="20" spans="2:9" x14ac:dyDescent="0.2">
      <c r="B20" s="5" t="s">
        <v>226</v>
      </c>
      <c r="C20" s="5"/>
      <c r="E20" s="5" t="s">
        <v>243</v>
      </c>
      <c r="F20" s="5"/>
      <c r="H20" s="9" t="s">
        <v>254</v>
      </c>
      <c r="I20" s="9"/>
    </row>
    <row r="21" spans="2:9" x14ac:dyDescent="0.2">
      <c r="E21" t="s">
        <v>244</v>
      </c>
      <c r="F21">
        <v>96</v>
      </c>
      <c r="H21" s="3" t="s">
        <v>18</v>
      </c>
      <c r="I21">
        <v>9</v>
      </c>
    </row>
    <row r="22" spans="2:9" x14ac:dyDescent="0.2">
      <c r="B22" t="s">
        <v>230</v>
      </c>
      <c r="C22">
        <v>46.96875</v>
      </c>
      <c r="E22" t="s">
        <v>245</v>
      </c>
      <c r="F22">
        <v>29</v>
      </c>
      <c r="H22" s="3" t="s">
        <v>158</v>
      </c>
      <c r="I22">
        <v>5</v>
      </c>
    </row>
    <row r="23" spans="2:9" x14ac:dyDescent="0.2">
      <c r="B23" t="s">
        <v>231</v>
      </c>
      <c r="C23">
        <v>4.663982305762417</v>
      </c>
      <c r="E23" t="s">
        <v>246</v>
      </c>
      <c r="F23" s="6">
        <f>F22/F21</f>
        <v>0.30208333333333331</v>
      </c>
      <c r="H23" s="3" t="s">
        <v>117</v>
      </c>
      <c r="I23">
        <v>4</v>
      </c>
    </row>
    <row r="24" spans="2:9" x14ac:dyDescent="0.2">
      <c r="B24" t="s">
        <v>232</v>
      </c>
      <c r="C24">
        <v>36</v>
      </c>
      <c r="H24" s="3" t="s">
        <v>203</v>
      </c>
      <c r="I24">
        <v>3</v>
      </c>
    </row>
    <row r="25" spans="2:9" x14ac:dyDescent="0.2">
      <c r="B25" t="s">
        <v>233</v>
      </c>
      <c r="C25">
        <v>46</v>
      </c>
      <c r="E25" s="3"/>
      <c r="H25" s="3" t="s">
        <v>123</v>
      </c>
      <c r="I25">
        <v>3</v>
      </c>
    </row>
    <row r="26" spans="2:9" x14ac:dyDescent="0.2">
      <c r="B26" t="s">
        <v>234</v>
      </c>
      <c r="C26">
        <v>45.697507273949107</v>
      </c>
      <c r="E26" s="3"/>
    </row>
    <row r="27" spans="2:9" x14ac:dyDescent="0.2">
      <c r="B27" t="s">
        <v>235</v>
      </c>
      <c r="C27">
        <v>2088.2621710526314</v>
      </c>
      <c r="E27" s="3"/>
    </row>
    <row r="28" spans="2:9" x14ac:dyDescent="0.2">
      <c r="B28" t="s">
        <v>236</v>
      </c>
      <c r="C28">
        <v>4.557073147702889</v>
      </c>
    </row>
    <row r="29" spans="2:9" x14ac:dyDescent="0.2">
      <c r="B29" t="s">
        <v>237</v>
      </c>
      <c r="C29">
        <v>2.1041243128898603</v>
      </c>
    </row>
    <row r="30" spans="2:9" x14ac:dyDescent="0.2">
      <c r="B30" t="s">
        <v>238</v>
      </c>
      <c r="C30">
        <v>220</v>
      </c>
    </row>
    <row r="31" spans="2:9" x14ac:dyDescent="0.2">
      <c r="B31" t="s">
        <v>239</v>
      </c>
      <c r="C31">
        <v>0</v>
      </c>
    </row>
    <row r="32" spans="2:9" x14ac:dyDescent="0.2">
      <c r="B32" t="s">
        <v>240</v>
      </c>
      <c r="C32">
        <v>220</v>
      </c>
    </row>
    <row r="33" spans="2:3" x14ac:dyDescent="0.2">
      <c r="B33" t="s">
        <v>241</v>
      </c>
      <c r="C33">
        <v>4509</v>
      </c>
    </row>
    <row r="34" spans="2:3" ht="16" thickBot="1" x14ac:dyDescent="0.25">
      <c r="B34" s="4" t="s">
        <v>242</v>
      </c>
      <c r="C34" s="4">
        <v>96</v>
      </c>
    </row>
    <row r="35" spans="2:3" x14ac:dyDescent="0.2">
      <c r="B35" t="s">
        <v>247</v>
      </c>
      <c r="C35" t="s">
        <v>54</v>
      </c>
    </row>
    <row r="36" spans="2:3" x14ac:dyDescent="0.2">
      <c r="B36" t="s">
        <v>248</v>
      </c>
      <c r="C36" t="s">
        <v>249</v>
      </c>
    </row>
  </sheetData>
  <mergeCells count="1">
    <mergeCell ref="H20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Peliculas</vt:lpstr>
      <vt:lpstr>Tabla Dinamica</vt:lpstr>
      <vt:lpstr>Analisis estadistico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GUZMAN HERNANDEZ, DANIEL ISRAEL</dc:creator>
  <cp:lastModifiedBy>Daniel Guzman</cp:lastModifiedBy>
  <dcterms:created xsi:type="dcterms:W3CDTF">2025-08-01T02:33:01Z</dcterms:created>
  <dcterms:modified xsi:type="dcterms:W3CDTF">2026-03-19T15:40:31Z</dcterms:modified>
</cp:coreProperties>
</file>